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A5EC232B-3E80-48C0-9C92-911CBC2A43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ciones" sheetId="1" r:id="rId1"/>
    <sheet name="Catalogos" sheetId="2" r:id="rId2"/>
    <sheet name="Registro_Contenedores" sheetId="3" r:id="rId3"/>
    <sheet name="Planif_Grupasa" sheetId="4" r:id="rId4"/>
    <sheet name="Planif_Galagans" sheetId="5" r:id="rId5"/>
    <sheet name="Status_Operativo" sheetId="6" r:id="rId6"/>
    <sheet name="Base_Historica" sheetId="7" r:id="rId7"/>
    <sheet name="Control_Calidad" sheetId="8" r:id="rId8"/>
  </sheets>
  <definedNames>
    <definedName name="Bodegas">Catalogos!$E$4:$E$7</definedName>
    <definedName name="Depositos">Catalogos!$F$4:$F$9</definedName>
    <definedName name="Navieras">Catalogos!$B$4:$B$7</definedName>
    <definedName name="Puertos">Catalogos!$A$4:$A$7</definedName>
    <definedName name="Status">Catalogos!$C$4:$C$7</definedName>
    <definedName name="Tipo_Incidencia">Catalogos!$D$4:$D$13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D8" i="8"/>
  <c r="C8" i="8"/>
  <c r="B8" i="8"/>
  <c r="G8" i="8" s="1"/>
  <c r="H207" i="8"/>
  <c r="F207" i="8"/>
  <c r="E207" i="8"/>
  <c r="D207" i="8"/>
  <c r="C207" i="8"/>
  <c r="B207" i="8"/>
  <c r="A207" i="8"/>
  <c r="H206" i="8"/>
  <c r="F206" i="8"/>
  <c r="E206" i="8"/>
  <c r="D206" i="8"/>
  <c r="C206" i="8"/>
  <c r="B206" i="8"/>
  <c r="A206" i="8"/>
  <c r="H205" i="8"/>
  <c r="F205" i="8"/>
  <c r="E205" i="8"/>
  <c r="D205" i="8"/>
  <c r="C205" i="8"/>
  <c r="B205" i="8"/>
  <c r="A205" i="8"/>
  <c r="H204" i="8"/>
  <c r="F204" i="8"/>
  <c r="E204" i="8"/>
  <c r="D204" i="8"/>
  <c r="C204" i="8"/>
  <c r="B204" i="8"/>
  <c r="A204" i="8"/>
  <c r="H203" i="8"/>
  <c r="F203" i="8"/>
  <c r="E203" i="8"/>
  <c r="D203" i="8"/>
  <c r="C203" i="8"/>
  <c r="B203" i="8"/>
  <c r="A203" i="8"/>
  <c r="H202" i="8"/>
  <c r="F202" i="8"/>
  <c r="E202" i="8"/>
  <c r="D202" i="8"/>
  <c r="C202" i="8"/>
  <c r="B202" i="8"/>
  <c r="A202" i="8"/>
  <c r="H201" i="8"/>
  <c r="F201" i="8"/>
  <c r="E201" i="8"/>
  <c r="D201" i="8"/>
  <c r="C201" i="8"/>
  <c r="B201" i="8"/>
  <c r="A201" i="8"/>
  <c r="H200" i="8"/>
  <c r="F200" i="8"/>
  <c r="E200" i="8"/>
  <c r="D200" i="8"/>
  <c r="C200" i="8"/>
  <c r="B200" i="8"/>
  <c r="A200" i="8"/>
  <c r="H199" i="8"/>
  <c r="F199" i="8"/>
  <c r="E199" i="8"/>
  <c r="D199" i="8"/>
  <c r="C199" i="8"/>
  <c r="B199" i="8"/>
  <c r="A199" i="8"/>
  <c r="H198" i="8"/>
  <c r="F198" i="8"/>
  <c r="E198" i="8"/>
  <c r="D198" i="8"/>
  <c r="C198" i="8"/>
  <c r="B198" i="8"/>
  <c r="A198" i="8"/>
  <c r="H197" i="8"/>
  <c r="F197" i="8"/>
  <c r="E197" i="8"/>
  <c r="D197" i="8"/>
  <c r="C197" i="8"/>
  <c r="B197" i="8"/>
  <c r="A197" i="8"/>
  <c r="H196" i="8"/>
  <c r="F196" i="8"/>
  <c r="E196" i="8"/>
  <c r="D196" i="8"/>
  <c r="C196" i="8"/>
  <c r="B196" i="8"/>
  <c r="A196" i="8"/>
  <c r="H195" i="8"/>
  <c r="F195" i="8"/>
  <c r="E195" i="8"/>
  <c r="D195" i="8"/>
  <c r="C195" i="8"/>
  <c r="B195" i="8"/>
  <c r="A195" i="8"/>
  <c r="H194" i="8"/>
  <c r="F194" i="8"/>
  <c r="E194" i="8"/>
  <c r="D194" i="8"/>
  <c r="C194" i="8"/>
  <c r="B194" i="8"/>
  <c r="A194" i="8"/>
  <c r="H193" i="8"/>
  <c r="F193" i="8"/>
  <c r="E193" i="8"/>
  <c r="D193" i="8"/>
  <c r="C193" i="8"/>
  <c r="B193" i="8"/>
  <c r="A193" i="8"/>
  <c r="H192" i="8"/>
  <c r="F192" i="8"/>
  <c r="E192" i="8"/>
  <c r="D192" i="8"/>
  <c r="C192" i="8"/>
  <c r="B192" i="8"/>
  <c r="A192" i="8"/>
  <c r="H191" i="8"/>
  <c r="F191" i="8"/>
  <c r="E191" i="8"/>
  <c r="D191" i="8"/>
  <c r="C191" i="8"/>
  <c r="B191" i="8"/>
  <c r="A191" i="8"/>
  <c r="H190" i="8"/>
  <c r="F190" i="8"/>
  <c r="E190" i="8"/>
  <c r="D190" i="8"/>
  <c r="C190" i="8"/>
  <c r="B190" i="8"/>
  <c r="A190" i="8"/>
  <c r="H189" i="8"/>
  <c r="F189" i="8"/>
  <c r="E189" i="8"/>
  <c r="D189" i="8"/>
  <c r="C189" i="8"/>
  <c r="B189" i="8"/>
  <c r="A189" i="8"/>
  <c r="H188" i="8"/>
  <c r="F188" i="8"/>
  <c r="E188" i="8"/>
  <c r="D188" i="8"/>
  <c r="C188" i="8"/>
  <c r="B188" i="8"/>
  <c r="A188" i="8"/>
  <c r="H187" i="8"/>
  <c r="F187" i="8"/>
  <c r="E187" i="8"/>
  <c r="D187" i="8"/>
  <c r="C187" i="8"/>
  <c r="B187" i="8"/>
  <c r="A187" i="8"/>
  <c r="H186" i="8"/>
  <c r="F186" i="8"/>
  <c r="E186" i="8"/>
  <c r="D186" i="8"/>
  <c r="C186" i="8"/>
  <c r="B186" i="8"/>
  <c r="A186" i="8"/>
  <c r="H185" i="8"/>
  <c r="F185" i="8"/>
  <c r="E185" i="8"/>
  <c r="D185" i="8"/>
  <c r="C185" i="8"/>
  <c r="B185" i="8"/>
  <c r="A185" i="8"/>
  <c r="H184" i="8"/>
  <c r="F184" i="8"/>
  <c r="E184" i="8"/>
  <c r="D184" i="8"/>
  <c r="C184" i="8"/>
  <c r="B184" i="8"/>
  <c r="A184" i="8"/>
  <c r="H183" i="8"/>
  <c r="F183" i="8"/>
  <c r="E183" i="8"/>
  <c r="D183" i="8"/>
  <c r="C183" i="8"/>
  <c r="B183" i="8"/>
  <c r="A183" i="8"/>
  <c r="H182" i="8"/>
  <c r="F182" i="8"/>
  <c r="E182" i="8"/>
  <c r="D182" i="8"/>
  <c r="C182" i="8"/>
  <c r="B182" i="8"/>
  <c r="A182" i="8"/>
  <c r="H181" i="8"/>
  <c r="F181" i="8"/>
  <c r="E181" i="8"/>
  <c r="D181" i="8"/>
  <c r="C181" i="8"/>
  <c r="B181" i="8"/>
  <c r="A181" i="8"/>
  <c r="H180" i="8"/>
  <c r="F180" i="8"/>
  <c r="E180" i="8"/>
  <c r="D180" i="8"/>
  <c r="C180" i="8"/>
  <c r="B180" i="8"/>
  <c r="A180" i="8"/>
  <c r="H179" i="8"/>
  <c r="F179" i="8"/>
  <c r="E179" i="8"/>
  <c r="D179" i="8"/>
  <c r="C179" i="8"/>
  <c r="B179" i="8"/>
  <c r="A179" i="8"/>
  <c r="H178" i="8"/>
  <c r="F178" i="8"/>
  <c r="E178" i="8"/>
  <c r="D178" i="8"/>
  <c r="C178" i="8"/>
  <c r="B178" i="8"/>
  <c r="A178" i="8"/>
  <c r="H177" i="8"/>
  <c r="F177" i="8"/>
  <c r="E177" i="8"/>
  <c r="D177" i="8"/>
  <c r="C177" i="8"/>
  <c r="B177" i="8"/>
  <c r="A177" i="8"/>
  <c r="H176" i="8"/>
  <c r="F176" i="8"/>
  <c r="E176" i="8"/>
  <c r="D176" i="8"/>
  <c r="C176" i="8"/>
  <c r="B176" i="8"/>
  <c r="A176" i="8"/>
  <c r="H175" i="8"/>
  <c r="F175" i="8"/>
  <c r="E175" i="8"/>
  <c r="D175" i="8"/>
  <c r="C175" i="8"/>
  <c r="B175" i="8"/>
  <c r="A175" i="8"/>
  <c r="H174" i="8"/>
  <c r="F174" i="8"/>
  <c r="E174" i="8"/>
  <c r="D174" i="8"/>
  <c r="C174" i="8"/>
  <c r="B174" i="8"/>
  <c r="A174" i="8"/>
  <c r="H173" i="8"/>
  <c r="F173" i="8"/>
  <c r="E173" i="8"/>
  <c r="D173" i="8"/>
  <c r="C173" i="8"/>
  <c r="B173" i="8"/>
  <c r="A173" i="8"/>
  <c r="H172" i="8"/>
  <c r="F172" i="8"/>
  <c r="E172" i="8"/>
  <c r="D172" i="8"/>
  <c r="C172" i="8"/>
  <c r="B172" i="8"/>
  <c r="A172" i="8"/>
  <c r="H171" i="8"/>
  <c r="F171" i="8"/>
  <c r="E171" i="8"/>
  <c r="D171" i="8"/>
  <c r="C171" i="8"/>
  <c r="B171" i="8"/>
  <c r="A171" i="8"/>
  <c r="H170" i="8"/>
  <c r="F170" i="8"/>
  <c r="E170" i="8"/>
  <c r="D170" i="8"/>
  <c r="C170" i="8"/>
  <c r="B170" i="8"/>
  <c r="A170" i="8"/>
  <c r="H169" i="8"/>
  <c r="F169" i="8"/>
  <c r="E169" i="8"/>
  <c r="D169" i="8"/>
  <c r="C169" i="8"/>
  <c r="B169" i="8"/>
  <c r="A169" i="8"/>
  <c r="H168" i="8"/>
  <c r="F168" i="8"/>
  <c r="E168" i="8"/>
  <c r="D168" i="8"/>
  <c r="C168" i="8"/>
  <c r="B168" i="8"/>
  <c r="A168" i="8"/>
  <c r="H167" i="8"/>
  <c r="F167" i="8"/>
  <c r="E167" i="8"/>
  <c r="D167" i="8"/>
  <c r="C167" i="8"/>
  <c r="B167" i="8"/>
  <c r="A167" i="8"/>
  <c r="H166" i="8"/>
  <c r="F166" i="8"/>
  <c r="E166" i="8"/>
  <c r="D166" i="8"/>
  <c r="C166" i="8"/>
  <c r="B166" i="8"/>
  <c r="A166" i="8"/>
  <c r="H165" i="8"/>
  <c r="F165" i="8"/>
  <c r="E165" i="8"/>
  <c r="D165" i="8"/>
  <c r="C165" i="8"/>
  <c r="B165" i="8"/>
  <c r="A165" i="8"/>
  <c r="H164" i="8"/>
  <c r="F164" i="8"/>
  <c r="E164" i="8"/>
  <c r="D164" i="8"/>
  <c r="C164" i="8"/>
  <c r="B164" i="8"/>
  <c r="A164" i="8"/>
  <c r="H163" i="8"/>
  <c r="F163" i="8"/>
  <c r="E163" i="8"/>
  <c r="D163" i="8"/>
  <c r="C163" i="8"/>
  <c r="B163" i="8"/>
  <c r="A163" i="8"/>
  <c r="H162" i="8"/>
  <c r="F162" i="8"/>
  <c r="E162" i="8"/>
  <c r="D162" i="8"/>
  <c r="C162" i="8"/>
  <c r="B162" i="8"/>
  <c r="A162" i="8"/>
  <c r="H161" i="8"/>
  <c r="F161" i="8"/>
  <c r="E161" i="8"/>
  <c r="D161" i="8"/>
  <c r="C161" i="8"/>
  <c r="B161" i="8"/>
  <c r="A161" i="8"/>
  <c r="H160" i="8"/>
  <c r="F160" i="8"/>
  <c r="E160" i="8"/>
  <c r="D160" i="8"/>
  <c r="C160" i="8"/>
  <c r="B160" i="8"/>
  <c r="A160" i="8"/>
  <c r="H159" i="8"/>
  <c r="F159" i="8"/>
  <c r="E159" i="8"/>
  <c r="D159" i="8"/>
  <c r="C159" i="8"/>
  <c r="B159" i="8"/>
  <c r="A159" i="8"/>
  <c r="H158" i="8"/>
  <c r="F158" i="8"/>
  <c r="E158" i="8"/>
  <c r="D158" i="8"/>
  <c r="C158" i="8"/>
  <c r="B158" i="8"/>
  <c r="A158" i="8"/>
  <c r="H157" i="8"/>
  <c r="F157" i="8"/>
  <c r="E157" i="8"/>
  <c r="D157" i="8"/>
  <c r="C157" i="8"/>
  <c r="B157" i="8"/>
  <c r="A157" i="8"/>
  <c r="H156" i="8"/>
  <c r="F156" i="8"/>
  <c r="E156" i="8"/>
  <c r="D156" i="8"/>
  <c r="C156" i="8"/>
  <c r="B156" i="8"/>
  <c r="A156" i="8"/>
  <c r="H155" i="8"/>
  <c r="F155" i="8"/>
  <c r="E155" i="8"/>
  <c r="D155" i="8"/>
  <c r="C155" i="8"/>
  <c r="B155" i="8"/>
  <c r="A155" i="8"/>
  <c r="H154" i="8"/>
  <c r="F154" i="8"/>
  <c r="E154" i="8"/>
  <c r="D154" i="8"/>
  <c r="C154" i="8"/>
  <c r="B154" i="8"/>
  <c r="A154" i="8"/>
  <c r="H153" i="8"/>
  <c r="F153" i="8"/>
  <c r="E153" i="8"/>
  <c r="D153" i="8"/>
  <c r="C153" i="8"/>
  <c r="B153" i="8"/>
  <c r="A153" i="8"/>
  <c r="H152" i="8"/>
  <c r="F152" i="8"/>
  <c r="E152" i="8"/>
  <c r="D152" i="8"/>
  <c r="C152" i="8"/>
  <c r="B152" i="8"/>
  <c r="A152" i="8"/>
  <c r="H151" i="8"/>
  <c r="F151" i="8"/>
  <c r="E151" i="8"/>
  <c r="D151" i="8"/>
  <c r="C151" i="8"/>
  <c r="B151" i="8"/>
  <c r="A151" i="8"/>
  <c r="H150" i="8"/>
  <c r="F150" i="8"/>
  <c r="E150" i="8"/>
  <c r="D150" i="8"/>
  <c r="C150" i="8"/>
  <c r="B150" i="8"/>
  <c r="A150" i="8"/>
  <c r="H149" i="8"/>
  <c r="F149" i="8"/>
  <c r="E149" i="8"/>
  <c r="D149" i="8"/>
  <c r="C149" i="8"/>
  <c r="B149" i="8"/>
  <c r="A149" i="8"/>
  <c r="H148" i="8"/>
  <c r="F148" i="8"/>
  <c r="E148" i="8"/>
  <c r="D148" i="8"/>
  <c r="C148" i="8"/>
  <c r="B148" i="8"/>
  <c r="A148" i="8"/>
  <c r="H147" i="8"/>
  <c r="F147" i="8"/>
  <c r="E147" i="8"/>
  <c r="D147" i="8"/>
  <c r="C147" i="8"/>
  <c r="B147" i="8"/>
  <c r="A147" i="8"/>
  <c r="H146" i="8"/>
  <c r="F146" i="8"/>
  <c r="E146" i="8"/>
  <c r="D146" i="8"/>
  <c r="C146" i="8"/>
  <c r="B146" i="8"/>
  <c r="A146" i="8"/>
  <c r="H145" i="8"/>
  <c r="F145" i="8"/>
  <c r="E145" i="8"/>
  <c r="D145" i="8"/>
  <c r="C145" i="8"/>
  <c r="B145" i="8"/>
  <c r="A145" i="8"/>
  <c r="H144" i="8"/>
  <c r="F144" i="8"/>
  <c r="E144" i="8"/>
  <c r="D144" i="8"/>
  <c r="C144" i="8"/>
  <c r="B144" i="8"/>
  <c r="A144" i="8"/>
  <c r="H143" i="8"/>
  <c r="F143" i="8"/>
  <c r="E143" i="8"/>
  <c r="D143" i="8"/>
  <c r="C143" i="8"/>
  <c r="B143" i="8"/>
  <c r="A143" i="8"/>
  <c r="H142" i="8"/>
  <c r="F142" i="8"/>
  <c r="E142" i="8"/>
  <c r="D142" i="8"/>
  <c r="C142" i="8"/>
  <c r="B142" i="8"/>
  <c r="A142" i="8"/>
  <c r="H141" i="8"/>
  <c r="F141" i="8"/>
  <c r="E141" i="8"/>
  <c r="D141" i="8"/>
  <c r="C141" i="8"/>
  <c r="B141" i="8"/>
  <c r="A141" i="8"/>
  <c r="H140" i="8"/>
  <c r="F140" i="8"/>
  <c r="E140" i="8"/>
  <c r="D140" i="8"/>
  <c r="C140" i="8"/>
  <c r="B140" i="8"/>
  <c r="A140" i="8"/>
  <c r="H139" i="8"/>
  <c r="F139" i="8"/>
  <c r="E139" i="8"/>
  <c r="D139" i="8"/>
  <c r="C139" i="8"/>
  <c r="B139" i="8"/>
  <c r="A139" i="8"/>
  <c r="H138" i="8"/>
  <c r="F138" i="8"/>
  <c r="E138" i="8"/>
  <c r="D138" i="8"/>
  <c r="C138" i="8"/>
  <c r="B138" i="8"/>
  <c r="A138" i="8"/>
  <c r="H137" i="8"/>
  <c r="F137" i="8"/>
  <c r="E137" i="8"/>
  <c r="D137" i="8"/>
  <c r="C137" i="8"/>
  <c r="B137" i="8"/>
  <c r="A137" i="8"/>
  <c r="H136" i="8"/>
  <c r="F136" i="8"/>
  <c r="E136" i="8"/>
  <c r="D136" i="8"/>
  <c r="C136" i="8"/>
  <c r="B136" i="8"/>
  <c r="A136" i="8"/>
  <c r="H135" i="8"/>
  <c r="F135" i="8"/>
  <c r="E135" i="8"/>
  <c r="D135" i="8"/>
  <c r="C135" i="8"/>
  <c r="B135" i="8"/>
  <c r="A135" i="8"/>
  <c r="H134" i="8"/>
  <c r="F134" i="8"/>
  <c r="E134" i="8"/>
  <c r="D134" i="8"/>
  <c r="C134" i="8"/>
  <c r="B134" i="8"/>
  <c r="A134" i="8"/>
  <c r="H133" i="8"/>
  <c r="F133" i="8"/>
  <c r="E133" i="8"/>
  <c r="D133" i="8"/>
  <c r="C133" i="8"/>
  <c r="B133" i="8"/>
  <c r="A133" i="8"/>
  <c r="H132" i="8"/>
  <c r="F132" i="8"/>
  <c r="E132" i="8"/>
  <c r="D132" i="8"/>
  <c r="C132" i="8"/>
  <c r="B132" i="8"/>
  <c r="A132" i="8"/>
  <c r="H131" i="8"/>
  <c r="F131" i="8"/>
  <c r="E131" i="8"/>
  <c r="D131" i="8"/>
  <c r="C131" i="8"/>
  <c r="B131" i="8"/>
  <c r="A131" i="8"/>
  <c r="H130" i="8"/>
  <c r="F130" i="8"/>
  <c r="E130" i="8"/>
  <c r="D130" i="8"/>
  <c r="C130" i="8"/>
  <c r="B130" i="8"/>
  <c r="A130" i="8"/>
  <c r="H129" i="8"/>
  <c r="F129" i="8"/>
  <c r="E129" i="8"/>
  <c r="D129" i="8"/>
  <c r="C129" i="8"/>
  <c r="B129" i="8"/>
  <c r="A129" i="8"/>
  <c r="H128" i="8"/>
  <c r="F128" i="8"/>
  <c r="E128" i="8"/>
  <c r="D128" i="8"/>
  <c r="C128" i="8"/>
  <c r="B128" i="8"/>
  <c r="A128" i="8"/>
  <c r="H127" i="8"/>
  <c r="F127" i="8"/>
  <c r="E127" i="8"/>
  <c r="D127" i="8"/>
  <c r="C127" i="8"/>
  <c r="B127" i="8"/>
  <c r="A127" i="8"/>
  <c r="H126" i="8"/>
  <c r="F126" i="8"/>
  <c r="E126" i="8"/>
  <c r="D126" i="8"/>
  <c r="C126" i="8"/>
  <c r="B126" i="8"/>
  <c r="A126" i="8"/>
  <c r="H125" i="8"/>
  <c r="F125" i="8"/>
  <c r="E125" i="8"/>
  <c r="D125" i="8"/>
  <c r="C125" i="8"/>
  <c r="B125" i="8"/>
  <c r="A125" i="8"/>
  <c r="H124" i="8"/>
  <c r="F124" i="8"/>
  <c r="E124" i="8"/>
  <c r="D124" i="8"/>
  <c r="C124" i="8"/>
  <c r="B124" i="8"/>
  <c r="A124" i="8"/>
  <c r="H123" i="8"/>
  <c r="F123" i="8"/>
  <c r="E123" i="8"/>
  <c r="D123" i="8"/>
  <c r="C123" i="8"/>
  <c r="B123" i="8"/>
  <c r="A123" i="8"/>
  <c r="H122" i="8"/>
  <c r="F122" i="8"/>
  <c r="E122" i="8"/>
  <c r="D122" i="8"/>
  <c r="C122" i="8"/>
  <c r="B122" i="8"/>
  <c r="A122" i="8"/>
  <c r="H121" i="8"/>
  <c r="F121" i="8"/>
  <c r="E121" i="8"/>
  <c r="D121" i="8"/>
  <c r="C121" i="8"/>
  <c r="B121" i="8"/>
  <c r="A121" i="8"/>
  <c r="H120" i="8"/>
  <c r="F120" i="8"/>
  <c r="E120" i="8"/>
  <c r="D120" i="8"/>
  <c r="C120" i="8"/>
  <c r="B120" i="8"/>
  <c r="A120" i="8"/>
  <c r="H119" i="8"/>
  <c r="F119" i="8"/>
  <c r="E119" i="8"/>
  <c r="D119" i="8"/>
  <c r="C119" i="8"/>
  <c r="B119" i="8"/>
  <c r="A119" i="8"/>
  <c r="H118" i="8"/>
  <c r="F118" i="8"/>
  <c r="E118" i="8"/>
  <c r="D118" i="8"/>
  <c r="C118" i="8"/>
  <c r="B118" i="8"/>
  <c r="A118" i="8"/>
  <c r="H117" i="8"/>
  <c r="F117" i="8"/>
  <c r="E117" i="8"/>
  <c r="D117" i="8"/>
  <c r="C117" i="8"/>
  <c r="B117" i="8"/>
  <c r="A117" i="8"/>
  <c r="H116" i="8"/>
  <c r="F116" i="8"/>
  <c r="E116" i="8"/>
  <c r="D116" i="8"/>
  <c r="C116" i="8"/>
  <c r="B116" i="8"/>
  <c r="A116" i="8"/>
  <c r="H115" i="8"/>
  <c r="F115" i="8"/>
  <c r="E115" i="8"/>
  <c r="D115" i="8"/>
  <c r="C115" i="8"/>
  <c r="B115" i="8"/>
  <c r="A115" i="8"/>
  <c r="H114" i="8"/>
  <c r="F114" i="8"/>
  <c r="E114" i="8"/>
  <c r="D114" i="8"/>
  <c r="C114" i="8"/>
  <c r="B114" i="8"/>
  <c r="A114" i="8"/>
  <c r="H113" i="8"/>
  <c r="F113" i="8"/>
  <c r="E113" i="8"/>
  <c r="D113" i="8"/>
  <c r="C113" i="8"/>
  <c r="B113" i="8"/>
  <c r="A113" i="8"/>
  <c r="H112" i="8"/>
  <c r="F112" i="8"/>
  <c r="E112" i="8"/>
  <c r="D112" i="8"/>
  <c r="C112" i="8"/>
  <c r="B112" i="8"/>
  <c r="A112" i="8"/>
  <c r="H111" i="8"/>
  <c r="F111" i="8"/>
  <c r="E111" i="8"/>
  <c r="D111" i="8"/>
  <c r="C111" i="8"/>
  <c r="B111" i="8"/>
  <c r="A111" i="8"/>
  <c r="H110" i="8"/>
  <c r="F110" i="8"/>
  <c r="E110" i="8"/>
  <c r="D110" i="8"/>
  <c r="C110" i="8"/>
  <c r="B110" i="8"/>
  <c r="A110" i="8"/>
  <c r="H109" i="8"/>
  <c r="F109" i="8"/>
  <c r="E109" i="8"/>
  <c r="D109" i="8"/>
  <c r="C109" i="8"/>
  <c r="B109" i="8"/>
  <c r="A109" i="8"/>
  <c r="H108" i="8"/>
  <c r="F108" i="8"/>
  <c r="E108" i="8"/>
  <c r="D108" i="8"/>
  <c r="C108" i="8"/>
  <c r="B108" i="8"/>
  <c r="A108" i="8"/>
  <c r="H107" i="8"/>
  <c r="F107" i="8"/>
  <c r="E107" i="8"/>
  <c r="D107" i="8"/>
  <c r="C107" i="8"/>
  <c r="B107" i="8"/>
  <c r="A107" i="8"/>
  <c r="H106" i="8"/>
  <c r="F106" i="8"/>
  <c r="E106" i="8"/>
  <c r="D106" i="8"/>
  <c r="C106" i="8"/>
  <c r="B106" i="8"/>
  <c r="A106" i="8"/>
  <c r="H105" i="8"/>
  <c r="F105" i="8"/>
  <c r="E105" i="8"/>
  <c r="D105" i="8"/>
  <c r="C105" i="8"/>
  <c r="B105" i="8"/>
  <c r="A105" i="8"/>
  <c r="H104" i="8"/>
  <c r="F104" i="8"/>
  <c r="E104" i="8"/>
  <c r="D104" i="8"/>
  <c r="C104" i="8"/>
  <c r="B104" i="8"/>
  <c r="A104" i="8"/>
  <c r="H103" i="8"/>
  <c r="F103" i="8"/>
  <c r="E103" i="8"/>
  <c r="D103" i="8"/>
  <c r="C103" i="8"/>
  <c r="B103" i="8"/>
  <c r="A103" i="8"/>
  <c r="H102" i="8"/>
  <c r="F102" i="8"/>
  <c r="E102" i="8"/>
  <c r="D102" i="8"/>
  <c r="C102" i="8"/>
  <c r="B102" i="8"/>
  <c r="A102" i="8"/>
  <c r="H101" i="8"/>
  <c r="F101" i="8"/>
  <c r="E101" i="8"/>
  <c r="D101" i="8"/>
  <c r="C101" i="8"/>
  <c r="B101" i="8"/>
  <c r="A101" i="8"/>
  <c r="H100" i="8"/>
  <c r="F100" i="8"/>
  <c r="E100" i="8"/>
  <c r="D100" i="8"/>
  <c r="C100" i="8"/>
  <c r="B100" i="8"/>
  <c r="A100" i="8"/>
  <c r="H99" i="8"/>
  <c r="F99" i="8"/>
  <c r="E99" i="8"/>
  <c r="D99" i="8"/>
  <c r="C99" i="8"/>
  <c r="B99" i="8"/>
  <c r="A99" i="8"/>
  <c r="H98" i="8"/>
  <c r="F98" i="8"/>
  <c r="E98" i="8"/>
  <c r="D98" i="8"/>
  <c r="C98" i="8"/>
  <c r="B98" i="8"/>
  <c r="A98" i="8"/>
  <c r="H97" i="8"/>
  <c r="F97" i="8"/>
  <c r="E97" i="8"/>
  <c r="D97" i="8"/>
  <c r="C97" i="8"/>
  <c r="B97" i="8"/>
  <c r="A97" i="8"/>
  <c r="H96" i="8"/>
  <c r="F96" i="8"/>
  <c r="E96" i="8"/>
  <c r="D96" i="8"/>
  <c r="C96" i="8"/>
  <c r="B96" i="8"/>
  <c r="A96" i="8"/>
  <c r="H95" i="8"/>
  <c r="F95" i="8"/>
  <c r="E95" i="8"/>
  <c r="D95" i="8"/>
  <c r="C95" i="8"/>
  <c r="B95" i="8"/>
  <c r="A95" i="8"/>
  <c r="H94" i="8"/>
  <c r="F94" i="8"/>
  <c r="E94" i="8"/>
  <c r="D94" i="8"/>
  <c r="C94" i="8"/>
  <c r="B94" i="8"/>
  <c r="A94" i="8"/>
  <c r="H93" i="8"/>
  <c r="F93" i="8"/>
  <c r="E93" i="8"/>
  <c r="D93" i="8"/>
  <c r="C93" i="8"/>
  <c r="B93" i="8"/>
  <c r="A93" i="8"/>
  <c r="H92" i="8"/>
  <c r="F92" i="8"/>
  <c r="E92" i="8"/>
  <c r="D92" i="8"/>
  <c r="C92" i="8"/>
  <c r="B92" i="8"/>
  <c r="A92" i="8"/>
  <c r="H91" i="8"/>
  <c r="F91" i="8"/>
  <c r="E91" i="8"/>
  <c r="D91" i="8"/>
  <c r="C91" i="8"/>
  <c r="B91" i="8"/>
  <c r="A91" i="8"/>
  <c r="H90" i="8"/>
  <c r="F90" i="8"/>
  <c r="E90" i="8"/>
  <c r="D90" i="8"/>
  <c r="C90" i="8"/>
  <c r="B90" i="8"/>
  <c r="A90" i="8"/>
  <c r="H89" i="8"/>
  <c r="F89" i="8"/>
  <c r="E89" i="8"/>
  <c r="D89" i="8"/>
  <c r="C89" i="8"/>
  <c r="B89" i="8"/>
  <c r="A89" i="8"/>
  <c r="H88" i="8"/>
  <c r="F88" i="8"/>
  <c r="E88" i="8"/>
  <c r="D88" i="8"/>
  <c r="C88" i="8"/>
  <c r="B88" i="8"/>
  <c r="A88" i="8"/>
  <c r="H87" i="8"/>
  <c r="F87" i="8"/>
  <c r="E87" i="8"/>
  <c r="D87" i="8"/>
  <c r="C87" i="8"/>
  <c r="B87" i="8"/>
  <c r="A87" i="8"/>
  <c r="H86" i="8"/>
  <c r="F86" i="8"/>
  <c r="E86" i="8"/>
  <c r="D86" i="8"/>
  <c r="C86" i="8"/>
  <c r="B86" i="8"/>
  <c r="A86" i="8"/>
  <c r="H85" i="8"/>
  <c r="F85" i="8"/>
  <c r="E85" i="8"/>
  <c r="D85" i="8"/>
  <c r="C85" i="8"/>
  <c r="B85" i="8"/>
  <c r="A85" i="8"/>
  <c r="H84" i="8"/>
  <c r="F84" i="8"/>
  <c r="E84" i="8"/>
  <c r="D84" i="8"/>
  <c r="C84" i="8"/>
  <c r="B84" i="8"/>
  <c r="A84" i="8"/>
  <c r="H83" i="8"/>
  <c r="F83" i="8"/>
  <c r="E83" i="8"/>
  <c r="D83" i="8"/>
  <c r="C83" i="8"/>
  <c r="B83" i="8"/>
  <c r="A83" i="8"/>
  <c r="H82" i="8"/>
  <c r="F82" i="8"/>
  <c r="E82" i="8"/>
  <c r="D82" i="8"/>
  <c r="C82" i="8"/>
  <c r="B82" i="8"/>
  <c r="A82" i="8"/>
  <c r="H81" i="8"/>
  <c r="F81" i="8"/>
  <c r="E81" i="8"/>
  <c r="D81" i="8"/>
  <c r="C81" i="8"/>
  <c r="B81" i="8"/>
  <c r="A81" i="8"/>
  <c r="H80" i="8"/>
  <c r="F80" i="8"/>
  <c r="E80" i="8"/>
  <c r="D80" i="8"/>
  <c r="C80" i="8"/>
  <c r="B80" i="8"/>
  <c r="A80" i="8"/>
  <c r="H79" i="8"/>
  <c r="F79" i="8"/>
  <c r="E79" i="8"/>
  <c r="D79" i="8"/>
  <c r="C79" i="8"/>
  <c r="B79" i="8"/>
  <c r="A79" i="8"/>
  <c r="H78" i="8"/>
  <c r="F78" i="8"/>
  <c r="E78" i="8"/>
  <c r="D78" i="8"/>
  <c r="C78" i="8"/>
  <c r="B78" i="8"/>
  <c r="A78" i="8"/>
  <c r="H77" i="8"/>
  <c r="F77" i="8"/>
  <c r="E77" i="8"/>
  <c r="D77" i="8"/>
  <c r="C77" i="8"/>
  <c r="B77" i="8"/>
  <c r="A77" i="8"/>
  <c r="H76" i="8"/>
  <c r="F76" i="8"/>
  <c r="E76" i="8"/>
  <c r="D76" i="8"/>
  <c r="C76" i="8"/>
  <c r="B76" i="8"/>
  <c r="A76" i="8"/>
  <c r="H75" i="8"/>
  <c r="F75" i="8"/>
  <c r="E75" i="8"/>
  <c r="D75" i="8"/>
  <c r="C75" i="8"/>
  <c r="B75" i="8"/>
  <c r="A75" i="8"/>
  <c r="H74" i="8"/>
  <c r="F74" i="8"/>
  <c r="E74" i="8"/>
  <c r="D74" i="8"/>
  <c r="C74" i="8"/>
  <c r="B74" i="8"/>
  <c r="A74" i="8"/>
  <c r="H73" i="8"/>
  <c r="F73" i="8"/>
  <c r="E73" i="8"/>
  <c r="D73" i="8"/>
  <c r="C73" i="8"/>
  <c r="B73" i="8"/>
  <c r="A73" i="8"/>
  <c r="H72" i="8"/>
  <c r="F72" i="8"/>
  <c r="E72" i="8"/>
  <c r="D72" i="8"/>
  <c r="C72" i="8"/>
  <c r="B72" i="8"/>
  <c r="A72" i="8"/>
  <c r="H71" i="8"/>
  <c r="F71" i="8"/>
  <c r="E71" i="8"/>
  <c r="D71" i="8"/>
  <c r="C71" i="8"/>
  <c r="B71" i="8"/>
  <c r="A71" i="8"/>
  <c r="H70" i="8"/>
  <c r="F70" i="8"/>
  <c r="E70" i="8"/>
  <c r="D70" i="8"/>
  <c r="C70" i="8"/>
  <c r="B70" i="8"/>
  <c r="A70" i="8"/>
  <c r="H69" i="8"/>
  <c r="F69" i="8"/>
  <c r="E69" i="8"/>
  <c r="D69" i="8"/>
  <c r="C69" i="8"/>
  <c r="B69" i="8"/>
  <c r="A69" i="8"/>
  <c r="H68" i="8"/>
  <c r="F68" i="8"/>
  <c r="E68" i="8"/>
  <c r="D68" i="8"/>
  <c r="C68" i="8"/>
  <c r="B68" i="8"/>
  <c r="A68" i="8"/>
  <c r="H67" i="8"/>
  <c r="F67" i="8"/>
  <c r="E67" i="8"/>
  <c r="D67" i="8"/>
  <c r="C67" i="8"/>
  <c r="B67" i="8"/>
  <c r="A67" i="8"/>
  <c r="H66" i="8"/>
  <c r="F66" i="8"/>
  <c r="E66" i="8"/>
  <c r="D66" i="8"/>
  <c r="C66" i="8"/>
  <c r="B66" i="8"/>
  <c r="A66" i="8"/>
  <c r="H65" i="8"/>
  <c r="F65" i="8"/>
  <c r="E65" i="8"/>
  <c r="D65" i="8"/>
  <c r="C65" i="8"/>
  <c r="B65" i="8"/>
  <c r="A65" i="8"/>
  <c r="H64" i="8"/>
  <c r="F64" i="8"/>
  <c r="E64" i="8"/>
  <c r="D64" i="8"/>
  <c r="C64" i="8"/>
  <c r="B64" i="8"/>
  <c r="A64" i="8"/>
  <c r="H63" i="8"/>
  <c r="F63" i="8"/>
  <c r="E63" i="8"/>
  <c r="D63" i="8"/>
  <c r="C63" i="8"/>
  <c r="B63" i="8"/>
  <c r="A63" i="8"/>
  <c r="H62" i="8"/>
  <c r="F62" i="8"/>
  <c r="E62" i="8"/>
  <c r="D62" i="8"/>
  <c r="C62" i="8"/>
  <c r="B62" i="8"/>
  <c r="A62" i="8"/>
  <c r="H61" i="8"/>
  <c r="F61" i="8"/>
  <c r="E61" i="8"/>
  <c r="D61" i="8"/>
  <c r="C61" i="8"/>
  <c r="B61" i="8"/>
  <c r="A61" i="8"/>
  <c r="H60" i="8"/>
  <c r="F60" i="8"/>
  <c r="E60" i="8"/>
  <c r="D60" i="8"/>
  <c r="C60" i="8"/>
  <c r="B60" i="8"/>
  <c r="A60" i="8"/>
  <c r="H59" i="8"/>
  <c r="F59" i="8"/>
  <c r="E59" i="8"/>
  <c r="D59" i="8"/>
  <c r="C59" i="8"/>
  <c r="B59" i="8"/>
  <c r="A59" i="8"/>
  <c r="H58" i="8"/>
  <c r="F58" i="8"/>
  <c r="E58" i="8"/>
  <c r="D58" i="8"/>
  <c r="C58" i="8"/>
  <c r="B58" i="8"/>
  <c r="A58" i="8"/>
  <c r="H57" i="8"/>
  <c r="F57" i="8"/>
  <c r="E57" i="8"/>
  <c r="D57" i="8"/>
  <c r="C57" i="8"/>
  <c r="B57" i="8"/>
  <c r="A57" i="8"/>
  <c r="H56" i="8"/>
  <c r="F56" i="8"/>
  <c r="E56" i="8"/>
  <c r="D56" i="8"/>
  <c r="C56" i="8"/>
  <c r="B56" i="8"/>
  <c r="A56" i="8"/>
  <c r="H55" i="8"/>
  <c r="F55" i="8"/>
  <c r="E55" i="8"/>
  <c r="D55" i="8"/>
  <c r="C55" i="8"/>
  <c r="B55" i="8"/>
  <c r="A55" i="8"/>
  <c r="H54" i="8"/>
  <c r="F54" i="8"/>
  <c r="E54" i="8"/>
  <c r="D54" i="8"/>
  <c r="C54" i="8"/>
  <c r="B54" i="8"/>
  <c r="A54" i="8"/>
  <c r="H53" i="8"/>
  <c r="F53" i="8"/>
  <c r="E53" i="8"/>
  <c r="D53" i="8"/>
  <c r="C53" i="8"/>
  <c r="B53" i="8"/>
  <c r="A53" i="8"/>
  <c r="H52" i="8"/>
  <c r="F52" i="8"/>
  <c r="E52" i="8"/>
  <c r="D52" i="8"/>
  <c r="C52" i="8"/>
  <c r="B52" i="8"/>
  <c r="A52" i="8"/>
  <c r="H51" i="8"/>
  <c r="F51" i="8"/>
  <c r="E51" i="8"/>
  <c r="D51" i="8"/>
  <c r="C51" i="8"/>
  <c r="B51" i="8"/>
  <c r="A51" i="8"/>
  <c r="H50" i="8"/>
  <c r="F50" i="8"/>
  <c r="E50" i="8"/>
  <c r="D50" i="8"/>
  <c r="C50" i="8"/>
  <c r="B50" i="8"/>
  <c r="A50" i="8"/>
  <c r="H49" i="8"/>
  <c r="F49" i="8"/>
  <c r="E49" i="8"/>
  <c r="D49" i="8"/>
  <c r="C49" i="8"/>
  <c r="B49" i="8"/>
  <c r="A49" i="8"/>
  <c r="H48" i="8"/>
  <c r="F48" i="8"/>
  <c r="E48" i="8"/>
  <c r="D48" i="8"/>
  <c r="C48" i="8"/>
  <c r="B48" i="8"/>
  <c r="A48" i="8"/>
  <c r="H47" i="8"/>
  <c r="F47" i="8"/>
  <c r="E47" i="8"/>
  <c r="D47" i="8"/>
  <c r="C47" i="8"/>
  <c r="B47" i="8"/>
  <c r="A47" i="8"/>
  <c r="H46" i="8"/>
  <c r="F46" i="8"/>
  <c r="E46" i="8"/>
  <c r="D46" i="8"/>
  <c r="C46" i="8"/>
  <c r="B46" i="8"/>
  <c r="A46" i="8"/>
  <c r="H45" i="8"/>
  <c r="F45" i="8"/>
  <c r="E45" i="8"/>
  <c r="D45" i="8"/>
  <c r="C45" i="8"/>
  <c r="B45" i="8"/>
  <c r="A45" i="8"/>
  <c r="H44" i="8"/>
  <c r="F44" i="8"/>
  <c r="E44" i="8"/>
  <c r="D44" i="8"/>
  <c r="C44" i="8"/>
  <c r="B44" i="8"/>
  <c r="A44" i="8"/>
  <c r="H43" i="8"/>
  <c r="F43" i="8"/>
  <c r="E43" i="8"/>
  <c r="D43" i="8"/>
  <c r="C43" i="8"/>
  <c r="B43" i="8"/>
  <c r="A43" i="8"/>
  <c r="H42" i="8"/>
  <c r="F42" i="8"/>
  <c r="E42" i="8"/>
  <c r="D42" i="8"/>
  <c r="C42" i="8"/>
  <c r="B42" i="8"/>
  <c r="A42" i="8"/>
  <c r="H41" i="8"/>
  <c r="F41" i="8"/>
  <c r="E41" i="8"/>
  <c r="D41" i="8"/>
  <c r="C41" i="8"/>
  <c r="B41" i="8"/>
  <c r="A41" i="8"/>
  <c r="H40" i="8"/>
  <c r="F40" i="8"/>
  <c r="E40" i="8"/>
  <c r="D40" i="8"/>
  <c r="C40" i="8"/>
  <c r="B40" i="8"/>
  <c r="A40" i="8"/>
  <c r="H39" i="8"/>
  <c r="F39" i="8"/>
  <c r="E39" i="8"/>
  <c r="D39" i="8"/>
  <c r="C39" i="8"/>
  <c r="B39" i="8"/>
  <c r="A39" i="8"/>
  <c r="H38" i="8"/>
  <c r="F38" i="8"/>
  <c r="E38" i="8"/>
  <c r="D38" i="8"/>
  <c r="C38" i="8"/>
  <c r="B38" i="8"/>
  <c r="A38" i="8"/>
  <c r="H37" i="8"/>
  <c r="F37" i="8"/>
  <c r="E37" i="8"/>
  <c r="D37" i="8"/>
  <c r="C37" i="8"/>
  <c r="B37" i="8"/>
  <c r="A37" i="8"/>
  <c r="H36" i="8"/>
  <c r="F36" i="8"/>
  <c r="E36" i="8"/>
  <c r="D36" i="8"/>
  <c r="C36" i="8"/>
  <c r="B36" i="8"/>
  <c r="A36" i="8"/>
  <c r="H35" i="8"/>
  <c r="F35" i="8"/>
  <c r="E35" i="8"/>
  <c r="D35" i="8"/>
  <c r="C35" i="8"/>
  <c r="B35" i="8"/>
  <c r="A35" i="8"/>
  <c r="H34" i="8"/>
  <c r="F34" i="8"/>
  <c r="E34" i="8"/>
  <c r="D34" i="8"/>
  <c r="C34" i="8"/>
  <c r="B34" i="8"/>
  <c r="A34" i="8"/>
  <c r="H33" i="8"/>
  <c r="F33" i="8"/>
  <c r="E33" i="8"/>
  <c r="D33" i="8"/>
  <c r="C33" i="8"/>
  <c r="B33" i="8"/>
  <c r="A33" i="8"/>
  <c r="H32" i="8"/>
  <c r="F32" i="8"/>
  <c r="E32" i="8"/>
  <c r="D32" i="8"/>
  <c r="C32" i="8"/>
  <c r="B32" i="8"/>
  <c r="A32" i="8"/>
  <c r="H31" i="8"/>
  <c r="F31" i="8"/>
  <c r="E31" i="8"/>
  <c r="D31" i="8"/>
  <c r="C31" i="8"/>
  <c r="B31" i="8"/>
  <c r="A31" i="8"/>
  <c r="H30" i="8"/>
  <c r="F30" i="8"/>
  <c r="E30" i="8"/>
  <c r="D30" i="8"/>
  <c r="C30" i="8"/>
  <c r="B30" i="8"/>
  <c r="A30" i="8"/>
  <c r="H29" i="8"/>
  <c r="F29" i="8"/>
  <c r="E29" i="8"/>
  <c r="D29" i="8"/>
  <c r="C29" i="8"/>
  <c r="B29" i="8"/>
  <c r="A29" i="8"/>
  <c r="H28" i="8"/>
  <c r="F28" i="8"/>
  <c r="E28" i="8"/>
  <c r="D28" i="8"/>
  <c r="C28" i="8"/>
  <c r="B28" i="8"/>
  <c r="A28" i="8"/>
  <c r="H27" i="8"/>
  <c r="F27" i="8"/>
  <c r="E27" i="8"/>
  <c r="D27" i="8"/>
  <c r="C27" i="8"/>
  <c r="B27" i="8"/>
  <c r="A27" i="8"/>
  <c r="H26" i="8"/>
  <c r="F26" i="8"/>
  <c r="E26" i="8"/>
  <c r="D26" i="8"/>
  <c r="C26" i="8"/>
  <c r="B26" i="8"/>
  <c r="A26" i="8"/>
  <c r="H25" i="8"/>
  <c r="F25" i="8"/>
  <c r="E25" i="8"/>
  <c r="D25" i="8"/>
  <c r="C25" i="8"/>
  <c r="B25" i="8"/>
  <c r="A25" i="8"/>
  <c r="H24" i="8"/>
  <c r="F24" i="8"/>
  <c r="E24" i="8"/>
  <c r="D24" i="8"/>
  <c r="C24" i="8"/>
  <c r="B24" i="8"/>
  <c r="A24" i="8"/>
  <c r="H23" i="8"/>
  <c r="F23" i="8"/>
  <c r="E23" i="8"/>
  <c r="D23" i="8"/>
  <c r="C23" i="8"/>
  <c r="B23" i="8"/>
  <c r="A23" i="8"/>
  <c r="H22" i="8"/>
  <c r="F22" i="8"/>
  <c r="E22" i="8"/>
  <c r="D22" i="8"/>
  <c r="C22" i="8"/>
  <c r="B22" i="8"/>
  <c r="A22" i="8"/>
  <c r="H21" i="8"/>
  <c r="F21" i="8"/>
  <c r="E21" i="8"/>
  <c r="D21" i="8"/>
  <c r="C21" i="8"/>
  <c r="B21" i="8"/>
  <c r="A21" i="8"/>
  <c r="H20" i="8"/>
  <c r="F20" i="8"/>
  <c r="E20" i="8"/>
  <c r="D20" i="8"/>
  <c r="C20" i="8"/>
  <c r="B20" i="8"/>
  <c r="A20" i="8"/>
  <c r="H19" i="8"/>
  <c r="F19" i="8"/>
  <c r="E19" i="8"/>
  <c r="D19" i="8"/>
  <c r="C19" i="8"/>
  <c r="B19" i="8"/>
  <c r="A19" i="8"/>
  <c r="H18" i="8"/>
  <c r="F18" i="8"/>
  <c r="E18" i="8"/>
  <c r="D18" i="8"/>
  <c r="C18" i="8"/>
  <c r="B18" i="8"/>
  <c r="A18" i="8"/>
  <c r="H17" i="8"/>
  <c r="F17" i="8"/>
  <c r="E17" i="8"/>
  <c r="D17" i="8"/>
  <c r="C17" i="8"/>
  <c r="B17" i="8"/>
  <c r="A17" i="8"/>
  <c r="H16" i="8"/>
  <c r="F16" i="8"/>
  <c r="E16" i="8"/>
  <c r="D16" i="8"/>
  <c r="C16" i="8"/>
  <c r="B16" i="8"/>
  <c r="A16" i="8"/>
  <c r="H15" i="8"/>
  <c r="F15" i="8"/>
  <c r="E15" i="8"/>
  <c r="D15" i="8"/>
  <c r="C15" i="8"/>
  <c r="B15" i="8"/>
  <c r="A15" i="8"/>
  <c r="H14" i="8"/>
  <c r="F14" i="8"/>
  <c r="E14" i="8"/>
  <c r="D14" i="8"/>
  <c r="C14" i="8"/>
  <c r="B14" i="8"/>
  <c r="A14" i="8"/>
  <c r="H13" i="8"/>
  <c r="F13" i="8"/>
  <c r="E13" i="8"/>
  <c r="D13" i="8"/>
  <c r="C13" i="8"/>
  <c r="B13" i="8"/>
  <c r="A13" i="8"/>
  <c r="H12" i="8"/>
  <c r="F12" i="8"/>
  <c r="E12" i="8"/>
  <c r="D12" i="8"/>
  <c r="C12" i="8"/>
  <c r="B12" i="8"/>
  <c r="A12" i="8"/>
  <c r="H11" i="8"/>
  <c r="F11" i="8"/>
  <c r="E11" i="8"/>
  <c r="D11" i="8"/>
  <c r="C11" i="8"/>
  <c r="B11" i="8"/>
  <c r="A11" i="8"/>
  <c r="H10" i="8"/>
  <c r="F10" i="8"/>
  <c r="E10" i="8"/>
  <c r="D10" i="8"/>
  <c r="C10" i="8"/>
  <c r="B10" i="8"/>
  <c r="A10" i="8"/>
  <c r="H9" i="8"/>
  <c r="F9" i="8"/>
  <c r="E9" i="8"/>
  <c r="D9" i="8"/>
  <c r="C9" i="8"/>
  <c r="B9" i="8"/>
  <c r="A9" i="8"/>
  <c r="H8" i="8"/>
  <c r="F8" i="8"/>
  <c r="A8" i="8"/>
  <c r="I203" i="6"/>
  <c r="H203" i="6"/>
  <c r="G203" i="6"/>
  <c r="F203" i="6"/>
  <c r="E203" i="6"/>
  <c r="D203" i="6"/>
  <c r="C203" i="6"/>
  <c r="B203" i="6"/>
  <c r="A203" i="6"/>
  <c r="I202" i="6"/>
  <c r="H202" i="6"/>
  <c r="G202" i="6"/>
  <c r="F202" i="6"/>
  <c r="E202" i="6"/>
  <c r="D202" i="6"/>
  <c r="C202" i="6"/>
  <c r="B202" i="6"/>
  <c r="A202" i="6"/>
  <c r="I201" i="6"/>
  <c r="H201" i="6"/>
  <c r="G201" i="6"/>
  <c r="F201" i="6"/>
  <c r="E201" i="6"/>
  <c r="D201" i="6"/>
  <c r="C201" i="6"/>
  <c r="B201" i="6"/>
  <c r="A201" i="6"/>
  <c r="I200" i="6"/>
  <c r="H200" i="6"/>
  <c r="G200" i="6"/>
  <c r="F200" i="6"/>
  <c r="E200" i="6"/>
  <c r="D200" i="6"/>
  <c r="C200" i="6"/>
  <c r="B200" i="6"/>
  <c r="A200" i="6"/>
  <c r="I199" i="6"/>
  <c r="H199" i="6"/>
  <c r="G199" i="6"/>
  <c r="F199" i="6"/>
  <c r="E199" i="6"/>
  <c r="D199" i="6"/>
  <c r="C199" i="6"/>
  <c r="B199" i="6"/>
  <c r="A199" i="6"/>
  <c r="I198" i="6"/>
  <c r="H198" i="6"/>
  <c r="G198" i="6"/>
  <c r="F198" i="6"/>
  <c r="E198" i="6"/>
  <c r="D198" i="6"/>
  <c r="C198" i="6"/>
  <c r="B198" i="6"/>
  <c r="A198" i="6"/>
  <c r="I197" i="6"/>
  <c r="H197" i="6"/>
  <c r="G197" i="6"/>
  <c r="F197" i="6"/>
  <c r="E197" i="6"/>
  <c r="D197" i="6"/>
  <c r="C197" i="6"/>
  <c r="B197" i="6"/>
  <c r="A197" i="6"/>
  <c r="I196" i="6"/>
  <c r="H196" i="6"/>
  <c r="G196" i="6"/>
  <c r="F196" i="6"/>
  <c r="E196" i="6"/>
  <c r="D196" i="6"/>
  <c r="C196" i="6"/>
  <c r="B196" i="6"/>
  <c r="A196" i="6"/>
  <c r="I195" i="6"/>
  <c r="H195" i="6"/>
  <c r="G195" i="6"/>
  <c r="F195" i="6"/>
  <c r="E195" i="6"/>
  <c r="D195" i="6"/>
  <c r="C195" i="6"/>
  <c r="B195" i="6"/>
  <c r="A195" i="6"/>
  <c r="I194" i="6"/>
  <c r="H194" i="6"/>
  <c r="G194" i="6"/>
  <c r="F194" i="6"/>
  <c r="E194" i="6"/>
  <c r="D194" i="6"/>
  <c r="C194" i="6"/>
  <c r="B194" i="6"/>
  <c r="A194" i="6"/>
  <c r="I193" i="6"/>
  <c r="H193" i="6"/>
  <c r="G193" i="6"/>
  <c r="F193" i="6"/>
  <c r="E193" i="6"/>
  <c r="D193" i="6"/>
  <c r="C193" i="6"/>
  <c r="B193" i="6"/>
  <c r="A193" i="6"/>
  <c r="I192" i="6"/>
  <c r="H192" i="6"/>
  <c r="G192" i="6"/>
  <c r="F192" i="6"/>
  <c r="E192" i="6"/>
  <c r="D192" i="6"/>
  <c r="C192" i="6"/>
  <c r="B192" i="6"/>
  <c r="A192" i="6"/>
  <c r="I191" i="6"/>
  <c r="H191" i="6"/>
  <c r="G191" i="6"/>
  <c r="F191" i="6"/>
  <c r="E191" i="6"/>
  <c r="D191" i="6"/>
  <c r="C191" i="6"/>
  <c r="B191" i="6"/>
  <c r="A191" i="6"/>
  <c r="I190" i="6"/>
  <c r="H190" i="6"/>
  <c r="G190" i="6"/>
  <c r="F190" i="6"/>
  <c r="E190" i="6"/>
  <c r="D190" i="6"/>
  <c r="C190" i="6"/>
  <c r="B190" i="6"/>
  <c r="A190" i="6"/>
  <c r="I189" i="6"/>
  <c r="H189" i="6"/>
  <c r="G189" i="6"/>
  <c r="F189" i="6"/>
  <c r="E189" i="6"/>
  <c r="D189" i="6"/>
  <c r="C189" i="6"/>
  <c r="B189" i="6"/>
  <c r="A189" i="6"/>
  <c r="I188" i="6"/>
  <c r="H188" i="6"/>
  <c r="G188" i="6"/>
  <c r="F188" i="6"/>
  <c r="E188" i="6"/>
  <c r="D188" i="6"/>
  <c r="C188" i="6"/>
  <c r="B188" i="6"/>
  <c r="A188" i="6"/>
  <c r="I187" i="6"/>
  <c r="H187" i="6"/>
  <c r="G187" i="6"/>
  <c r="F187" i="6"/>
  <c r="E187" i="6"/>
  <c r="D187" i="6"/>
  <c r="C187" i="6"/>
  <c r="B187" i="6"/>
  <c r="A187" i="6"/>
  <c r="I186" i="6"/>
  <c r="H186" i="6"/>
  <c r="G186" i="6"/>
  <c r="F186" i="6"/>
  <c r="E186" i="6"/>
  <c r="D186" i="6"/>
  <c r="C186" i="6"/>
  <c r="B186" i="6"/>
  <c r="A186" i="6"/>
  <c r="I185" i="6"/>
  <c r="H185" i="6"/>
  <c r="G185" i="6"/>
  <c r="F185" i="6"/>
  <c r="E185" i="6"/>
  <c r="D185" i="6"/>
  <c r="C185" i="6"/>
  <c r="B185" i="6"/>
  <c r="A185" i="6"/>
  <c r="I184" i="6"/>
  <c r="H184" i="6"/>
  <c r="G184" i="6"/>
  <c r="F184" i="6"/>
  <c r="E184" i="6"/>
  <c r="D184" i="6"/>
  <c r="C184" i="6"/>
  <c r="B184" i="6"/>
  <c r="A184" i="6"/>
  <c r="I183" i="6"/>
  <c r="H183" i="6"/>
  <c r="G183" i="6"/>
  <c r="F183" i="6"/>
  <c r="E183" i="6"/>
  <c r="D183" i="6"/>
  <c r="C183" i="6"/>
  <c r="B183" i="6"/>
  <c r="A183" i="6"/>
  <c r="I182" i="6"/>
  <c r="H182" i="6"/>
  <c r="G182" i="6"/>
  <c r="F182" i="6"/>
  <c r="E182" i="6"/>
  <c r="D182" i="6"/>
  <c r="C182" i="6"/>
  <c r="B182" i="6"/>
  <c r="A182" i="6"/>
  <c r="I181" i="6"/>
  <c r="H181" i="6"/>
  <c r="G181" i="6"/>
  <c r="F181" i="6"/>
  <c r="E181" i="6"/>
  <c r="D181" i="6"/>
  <c r="C181" i="6"/>
  <c r="B181" i="6"/>
  <c r="A181" i="6"/>
  <c r="I180" i="6"/>
  <c r="H180" i="6"/>
  <c r="G180" i="6"/>
  <c r="F180" i="6"/>
  <c r="E180" i="6"/>
  <c r="D180" i="6"/>
  <c r="C180" i="6"/>
  <c r="B180" i="6"/>
  <c r="A180" i="6"/>
  <c r="I179" i="6"/>
  <c r="H179" i="6"/>
  <c r="G179" i="6"/>
  <c r="F179" i="6"/>
  <c r="E179" i="6"/>
  <c r="D179" i="6"/>
  <c r="C179" i="6"/>
  <c r="B179" i="6"/>
  <c r="A179" i="6"/>
  <c r="I178" i="6"/>
  <c r="H178" i="6"/>
  <c r="G178" i="6"/>
  <c r="F178" i="6"/>
  <c r="E178" i="6"/>
  <c r="D178" i="6"/>
  <c r="C178" i="6"/>
  <c r="B178" i="6"/>
  <c r="A178" i="6"/>
  <c r="I177" i="6"/>
  <c r="H177" i="6"/>
  <c r="G177" i="6"/>
  <c r="F177" i="6"/>
  <c r="E177" i="6"/>
  <c r="D177" i="6"/>
  <c r="C177" i="6"/>
  <c r="B177" i="6"/>
  <c r="A177" i="6"/>
  <c r="I176" i="6"/>
  <c r="H176" i="6"/>
  <c r="G176" i="6"/>
  <c r="F176" i="6"/>
  <c r="E176" i="6"/>
  <c r="D176" i="6"/>
  <c r="C176" i="6"/>
  <c r="B176" i="6"/>
  <c r="A176" i="6"/>
  <c r="I175" i="6"/>
  <c r="H175" i="6"/>
  <c r="G175" i="6"/>
  <c r="F175" i="6"/>
  <c r="E175" i="6"/>
  <c r="D175" i="6"/>
  <c r="C175" i="6"/>
  <c r="B175" i="6"/>
  <c r="A175" i="6"/>
  <c r="I174" i="6"/>
  <c r="H174" i="6"/>
  <c r="G174" i="6"/>
  <c r="F174" i="6"/>
  <c r="E174" i="6"/>
  <c r="D174" i="6"/>
  <c r="C174" i="6"/>
  <c r="B174" i="6"/>
  <c r="A174" i="6"/>
  <c r="I173" i="6"/>
  <c r="H173" i="6"/>
  <c r="G173" i="6"/>
  <c r="F173" i="6"/>
  <c r="E173" i="6"/>
  <c r="D173" i="6"/>
  <c r="C173" i="6"/>
  <c r="B173" i="6"/>
  <c r="A173" i="6"/>
  <c r="I172" i="6"/>
  <c r="H172" i="6"/>
  <c r="G172" i="6"/>
  <c r="F172" i="6"/>
  <c r="E172" i="6"/>
  <c r="D172" i="6"/>
  <c r="C172" i="6"/>
  <c r="B172" i="6"/>
  <c r="A172" i="6"/>
  <c r="I171" i="6"/>
  <c r="H171" i="6"/>
  <c r="G171" i="6"/>
  <c r="F171" i="6"/>
  <c r="E171" i="6"/>
  <c r="D171" i="6"/>
  <c r="C171" i="6"/>
  <c r="B171" i="6"/>
  <c r="A171" i="6"/>
  <c r="I170" i="6"/>
  <c r="H170" i="6"/>
  <c r="G170" i="6"/>
  <c r="F170" i="6"/>
  <c r="E170" i="6"/>
  <c r="D170" i="6"/>
  <c r="C170" i="6"/>
  <c r="B170" i="6"/>
  <c r="A170" i="6"/>
  <c r="I169" i="6"/>
  <c r="H169" i="6"/>
  <c r="G169" i="6"/>
  <c r="F169" i="6"/>
  <c r="E169" i="6"/>
  <c r="D169" i="6"/>
  <c r="C169" i="6"/>
  <c r="B169" i="6"/>
  <c r="A169" i="6"/>
  <c r="I168" i="6"/>
  <c r="H168" i="6"/>
  <c r="G168" i="6"/>
  <c r="F168" i="6"/>
  <c r="E168" i="6"/>
  <c r="D168" i="6"/>
  <c r="C168" i="6"/>
  <c r="B168" i="6"/>
  <c r="A168" i="6"/>
  <c r="I167" i="6"/>
  <c r="H167" i="6"/>
  <c r="G167" i="6"/>
  <c r="F167" i="6"/>
  <c r="E167" i="6"/>
  <c r="D167" i="6"/>
  <c r="C167" i="6"/>
  <c r="B167" i="6"/>
  <c r="A167" i="6"/>
  <c r="I166" i="6"/>
  <c r="H166" i="6"/>
  <c r="G166" i="6"/>
  <c r="F166" i="6"/>
  <c r="E166" i="6"/>
  <c r="D166" i="6"/>
  <c r="C166" i="6"/>
  <c r="B166" i="6"/>
  <c r="A166" i="6"/>
  <c r="I165" i="6"/>
  <c r="H165" i="6"/>
  <c r="G165" i="6"/>
  <c r="F165" i="6"/>
  <c r="E165" i="6"/>
  <c r="D165" i="6"/>
  <c r="C165" i="6"/>
  <c r="B165" i="6"/>
  <c r="A165" i="6"/>
  <c r="I164" i="6"/>
  <c r="H164" i="6"/>
  <c r="G164" i="6"/>
  <c r="F164" i="6"/>
  <c r="E164" i="6"/>
  <c r="D164" i="6"/>
  <c r="C164" i="6"/>
  <c r="B164" i="6"/>
  <c r="A164" i="6"/>
  <c r="I163" i="6"/>
  <c r="H163" i="6"/>
  <c r="G163" i="6"/>
  <c r="F163" i="6"/>
  <c r="E163" i="6"/>
  <c r="D163" i="6"/>
  <c r="C163" i="6"/>
  <c r="B163" i="6"/>
  <c r="A163" i="6"/>
  <c r="I162" i="6"/>
  <c r="H162" i="6"/>
  <c r="G162" i="6"/>
  <c r="F162" i="6"/>
  <c r="E162" i="6"/>
  <c r="D162" i="6"/>
  <c r="C162" i="6"/>
  <c r="B162" i="6"/>
  <c r="A162" i="6"/>
  <c r="I161" i="6"/>
  <c r="H161" i="6"/>
  <c r="G161" i="6"/>
  <c r="F161" i="6"/>
  <c r="E161" i="6"/>
  <c r="D161" i="6"/>
  <c r="C161" i="6"/>
  <c r="B161" i="6"/>
  <c r="A161" i="6"/>
  <c r="I160" i="6"/>
  <c r="H160" i="6"/>
  <c r="G160" i="6"/>
  <c r="F160" i="6"/>
  <c r="E160" i="6"/>
  <c r="D160" i="6"/>
  <c r="C160" i="6"/>
  <c r="B160" i="6"/>
  <c r="A160" i="6"/>
  <c r="I159" i="6"/>
  <c r="H159" i="6"/>
  <c r="G159" i="6"/>
  <c r="F159" i="6"/>
  <c r="E159" i="6"/>
  <c r="D159" i="6"/>
  <c r="C159" i="6"/>
  <c r="B159" i="6"/>
  <c r="A159" i="6"/>
  <c r="I158" i="6"/>
  <c r="H158" i="6"/>
  <c r="G158" i="6"/>
  <c r="F158" i="6"/>
  <c r="E158" i="6"/>
  <c r="D158" i="6"/>
  <c r="C158" i="6"/>
  <c r="B158" i="6"/>
  <c r="A158" i="6"/>
  <c r="I157" i="6"/>
  <c r="H157" i="6"/>
  <c r="G157" i="6"/>
  <c r="F157" i="6"/>
  <c r="E157" i="6"/>
  <c r="D157" i="6"/>
  <c r="C157" i="6"/>
  <c r="B157" i="6"/>
  <c r="A157" i="6"/>
  <c r="I156" i="6"/>
  <c r="H156" i="6"/>
  <c r="G156" i="6"/>
  <c r="F156" i="6"/>
  <c r="E156" i="6"/>
  <c r="D156" i="6"/>
  <c r="C156" i="6"/>
  <c r="B156" i="6"/>
  <c r="A156" i="6"/>
  <c r="I155" i="6"/>
  <c r="H155" i="6"/>
  <c r="G155" i="6"/>
  <c r="F155" i="6"/>
  <c r="E155" i="6"/>
  <c r="D155" i="6"/>
  <c r="C155" i="6"/>
  <c r="B155" i="6"/>
  <c r="A155" i="6"/>
  <c r="I154" i="6"/>
  <c r="H154" i="6"/>
  <c r="G154" i="6"/>
  <c r="F154" i="6"/>
  <c r="E154" i="6"/>
  <c r="D154" i="6"/>
  <c r="C154" i="6"/>
  <c r="B154" i="6"/>
  <c r="A154" i="6"/>
  <c r="I153" i="6"/>
  <c r="H153" i="6"/>
  <c r="G153" i="6"/>
  <c r="F153" i="6"/>
  <c r="E153" i="6"/>
  <c r="D153" i="6"/>
  <c r="C153" i="6"/>
  <c r="B153" i="6"/>
  <c r="A153" i="6"/>
  <c r="I152" i="6"/>
  <c r="H152" i="6"/>
  <c r="G152" i="6"/>
  <c r="F152" i="6"/>
  <c r="E152" i="6"/>
  <c r="D152" i="6"/>
  <c r="C152" i="6"/>
  <c r="B152" i="6"/>
  <c r="A152" i="6"/>
  <c r="I151" i="6"/>
  <c r="H151" i="6"/>
  <c r="G151" i="6"/>
  <c r="F151" i="6"/>
  <c r="E151" i="6"/>
  <c r="D151" i="6"/>
  <c r="C151" i="6"/>
  <c r="B151" i="6"/>
  <c r="A151" i="6"/>
  <c r="I150" i="6"/>
  <c r="H150" i="6"/>
  <c r="G150" i="6"/>
  <c r="F150" i="6"/>
  <c r="E150" i="6"/>
  <c r="D150" i="6"/>
  <c r="C150" i="6"/>
  <c r="B150" i="6"/>
  <c r="A150" i="6"/>
  <c r="I149" i="6"/>
  <c r="H149" i="6"/>
  <c r="G149" i="6"/>
  <c r="F149" i="6"/>
  <c r="E149" i="6"/>
  <c r="D149" i="6"/>
  <c r="C149" i="6"/>
  <c r="B149" i="6"/>
  <c r="A149" i="6"/>
  <c r="I148" i="6"/>
  <c r="H148" i="6"/>
  <c r="G148" i="6"/>
  <c r="F148" i="6"/>
  <c r="E148" i="6"/>
  <c r="D148" i="6"/>
  <c r="C148" i="6"/>
  <c r="B148" i="6"/>
  <c r="A148" i="6"/>
  <c r="I147" i="6"/>
  <c r="H147" i="6"/>
  <c r="G147" i="6"/>
  <c r="F147" i="6"/>
  <c r="E147" i="6"/>
  <c r="D147" i="6"/>
  <c r="C147" i="6"/>
  <c r="B147" i="6"/>
  <c r="A147" i="6"/>
  <c r="I146" i="6"/>
  <c r="H146" i="6"/>
  <c r="G146" i="6"/>
  <c r="F146" i="6"/>
  <c r="E146" i="6"/>
  <c r="D146" i="6"/>
  <c r="C146" i="6"/>
  <c r="B146" i="6"/>
  <c r="A146" i="6"/>
  <c r="I145" i="6"/>
  <c r="H145" i="6"/>
  <c r="G145" i="6"/>
  <c r="F145" i="6"/>
  <c r="E145" i="6"/>
  <c r="D145" i="6"/>
  <c r="C145" i="6"/>
  <c r="B145" i="6"/>
  <c r="A145" i="6"/>
  <c r="I144" i="6"/>
  <c r="H144" i="6"/>
  <c r="G144" i="6"/>
  <c r="F144" i="6"/>
  <c r="E144" i="6"/>
  <c r="D144" i="6"/>
  <c r="C144" i="6"/>
  <c r="B144" i="6"/>
  <c r="A144" i="6"/>
  <c r="I143" i="6"/>
  <c r="H143" i="6"/>
  <c r="G143" i="6"/>
  <c r="F143" i="6"/>
  <c r="E143" i="6"/>
  <c r="D143" i="6"/>
  <c r="C143" i="6"/>
  <c r="B143" i="6"/>
  <c r="A143" i="6"/>
  <c r="I142" i="6"/>
  <c r="H142" i="6"/>
  <c r="G142" i="6"/>
  <c r="F142" i="6"/>
  <c r="E142" i="6"/>
  <c r="D142" i="6"/>
  <c r="C142" i="6"/>
  <c r="B142" i="6"/>
  <c r="A142" i="6"/>
  <c r="I141" i="6"/>
  <c r="H141" i="6"/>
  <c r="G141" i="6"/>
  <c r="F141" i="6"/>
  <c r="E141" i="6"/>
  <c r="D141" i="6"/>
  <c r="C141" i="6"/>
  <c r="B141" i="6"/>
  <c r="A141" i="6"/>
  <c r="I140" i="6"/>
  <c r="H140" i="6"/>
  <c r="G140" i="6"/>
  <c r="F140" i="6"/>
  <c r="E140" i="6"/>
  <c r="D140" i="6"/>
  <c r="C140" i="6"/>
  <c r="B140" i="6"/>
  <c r="A140" i="6"/>
  <c r="I139" i="6"/>
  <c r="H139" i="6"/>
  <c r="G139" i="6"/>
  <c r="F139" i="6"/>
  <c r="E139" i="6"/>
  <c r="D139" i="6"/>
  <c r="C139" i="6"/>
  <c r="B139" i="6"/>
  <c r="A139" i="6"/>
  <c r="I138" i="6"/>
  <c r="H138" i="6"/>
  <c r="G138" i="6"/>
  <c r="F138" i="6"/>
  <c r="E138" i="6"/>
  <c r="D138" i="6"/>
  <c r="C138" i="6"/>
  <c r="B138" i="6"/>
  <c r="A138" i="6"/>
  <c r="I137" i="6"/>
  <c r="H137" i="6"/>
  <c r="G137" i="6"/>
  <c r="F137" i="6"/>
  <c r="E137" i="6"/>
  <c r="D137" i="6"/>
  <c r="C137" i="6"/>
  <c r="B137" i="6"/>
  <c r="A137" i="6"/>
  <c r="I136" i="6"/>
  <c r="H136" i="6"/>
  <c r="G136" i="6"/>
  <c r="F136" i="6"/>
  <c r="E136" i="6"/>
  <c r="D136" i="6"/>
  <c r="C136" i="6"/>
  <c r="B136" i="6"/>
  <c r="A136" i="6"/>
  <c r="I135" i="6"/>
  <c r="H135" i="6"/>
  <c r="G135" i="6"/>
  <c r="F135" i="6"/>
  <c r="E135" i="6"/>
  <c r="D135" i="6"/>
  <c r="C135" i="6"/>
  <c r="B135" i="6"/>
  <c r="A135" i="6"/>
  <c r="I134" i="6"/>
  <c r="H134" i="6"/>
  <c r="G134" i="6"/>
  <c r="F134" i="6"/>
  <c r="E134" i="6"/>
  <c r="D134" i="6"/>
  <c r="C134" i="6"/>
  <c r="B134" i="6"/>
  <c r="A134" i="6"/>
  <c r="I133" i="6"/>
  <c r="H133" i="6"/>
  <c r="G133" i="6"/>
  <c r="F133" i="6"/>
  <c r="E133" i="6"/>
  <c r="D133" i="6"/>
  <c r="C133" i="6"/>
  <c r="B133" i="6"/>
  <c r="A133" i="6"/>
  <c r="I132" i="6"/>
  <c r="H132" i="6"/>
  <c r="G132" i="6"/>
  <c r="F132" i="6"/>
  <c r="E132" i="6"/>
  <c r="D132" i="6"/>
  <c r="C132" i="6"/>
  <c r="B132" i="6"/>
  <c r="A132" i="6"/>
  <c r="I131" i="6"/>
  <c r="H131" i="6"/>
  <c r="G131" i="6"/>
  <c r="F131" i="6"/>
  <c r="E131" i="6"/>
  <c r="D131" i="6"/>
  <c r="C131" i="6"/>
  <c r="B131" i="6"/>
  <c r="A131" i="6"/>
  <c r="I130" i="6"/>
  <c r="H130" i="6"/>
  <c r="G130" i="6"/>
  <c r="F130" i="6"/>
  <c r="E130" i="6"/>
  <c r="D130" i="6"/>
  <c r="C130" i="6"/>
  <c r="B130" i="6"/>
  <c r="A130" i="6"/>
  <c r="I129" i="6"/>
  <c r="H129" i="6"/>
  <c r="G129" i="6"/>
  <c r="F129" i="6"/>
  <c r="E129" i="6"/>
  <c r="D129" i="6"/>
  <c r="C129" i="6"/>
  <c r="B129" i="6"/>
  <c r="A129" i="6"/>
  <c r="I128" i="6"/>
  <c r="H128" i="6"/>
  <c r="G128" i="6"/>
  <c r="F128" i="6"/>
  <c r="E128" i="6"/>
  <c r="D128" i="6"/>
  <c r="C128" i="6"/>
  <c r="B128" i="6"/>
  <c r="A128" i="6"/>
  <c r="I127" i="6"/>
  <c r="H127" i="6"/>
  <c r="G127" i="6"/>
  <c r="F127" i="6"/>
  <c r="E127" i="6"/>
  <c r="D127" i="6"/>
  <c r="C127" i="6"/>
  <c r="B127" i="6"/>
  <c r="A127" i="6"/>
  <c r="I126" i="6"/>
  <c r="H126" i="6"/>
  <c r="G126" i="6"/>
  <c r="F126" i="6"/>
  <c r="E126" i="6"/>
  <c r="D126" i="6"/>
  <c r="C126" i="6"/>
  <c r="B126" i="6"/>
  <c r="A126" i="6"/>
  <c r="I125" i="6"/>
  <c r="H125" i="6"/>
  <c r="G125" i="6"/>
  <c r="F125" i="6"/>
  <c r="E125" i="6"/>
  <c r="D125" i="6"/>
  <c r="C125" i="6"/>
  <c r="B125" i="6"/>
  <c r="A125" i="6"/>
  <c r="I124" i="6"/>
  <c r="H124" i="6"/>
  <c r="G124" i="6"/>
  <c r="F124" i="6"/>
  <c r="E124" i="6"/>
  <c r="D124" i="6"/>
  <c r="C124" i="6"/>
  <c r="B124" i="6"/>
  <c r="A124" i="6"/>
  <c r="I123" i="6"/>
  <c r="H123" i="6"/>
  <c r="G123" i="6"/>
  <c r="F123" i="6"/>
  <c r="E123" i="6"/>
  <c r="D123" i="6"/>
  <c r="C123" i="6"/>
  <c r="B123" i="6"/>
  <c r="A123" i="6"/>
  <c r="I122" i="6"/>
  <c r="H122" i="6"/>
  <c r="G122" i="6"/>
  <c r="F122" i="6"/>
  <c r="E122" i="6"/>
  <c r="D122" i="6"/>
  <c r="C122" i="6"/>
  <c r="B122" i="6"/>
  <c r="A122" i="6"/>
  <c r="I121" i="6"/>
  <c r="H121" i="6"/>
  <c r="G121" i="6"/>
  <c r="F121" i="6"/>
  <c r="E121" i="6"/>
  <c r="D121" i="6"/>
  <c r="C121" i="6"/>
  <c r="B121" i="6"/>
  <c r="A121" i="6"/>
  <c r="I120" i="6"/>
  <c r="H120" i="6"/>
  <c r="G120" i="6"/>
  <c r="F120" i="6"/>
  <c r="E120" i="6"/>
  <c r="D120" i="6"/>
  <c r="C120" i="6"/>
  <c r="B120" i="6"/>
  <c r="A120" i="6"/>
  <c r="I119" i="6"/>
  <c r="H119" i="6"/>
  <c r="G119" i="6"/>
  <c r="F119" i="6"/>
  <c r="E119" i="6"/>
  <c r="D119" i="6"/>
  <c r="C119" i="6"/>
  <c r="B119" i="6"/>
  <c r="A119" i="6"/>
  <c r="I118" i="6"/>
  <c r="H118" i="6"/>
  <c r="G118" i="6"/>
  <c r="F118" i="6"/>
  <c r="E118" i="6"/>
  <c r="D118" i="6"/>
  <c r="C118" i="6"/>
  <c r="B118" i="6"/>
  <c r="A118" i="6"/>
  <c r="I117" i="6"/>
  <c r="H117" i="6"/>
  <c r="G117" i="6"/>
  <c r="F117" i="6"/>
  <c r="E117" i="6"/>
  <c r="D117" i="6"/>
  <c r="C117" i="6"/>
  <c r="B117" i="6"/>
  <c r="A117" i="6"/>
  <c r="I116" i="6"/>
  <c r="H116" i="6"/>
  <c r="G116" i="6"/>
  <c r="F116" i="6"/>
  <c r="E116" i="6"/>
  <c r="D116" i="6"/>
  <c r="C116" i="6"/>
  <c r="B116" i="6"/>
  <c r="A116" i="6"/>
  <c r="I115" i="6"/>
  <c r="H115" i="6"/>
  <c r="G115" i="6"/>
  <c r="F115" i="6"/>
  <c r="E115" i="6"/>
  <c r="D115" i="6"/>
  <c r="C115" i="6"/>
  <c r="B115" i="6"/>
  <c r="A115" i="6"/>
  <c r="I114" i="6"/>
  <c r="H114" i="6"/>
  <c r="G114" i="6"/>
  <c r="F114" i="6"/>
  <c r="E114" i="6"/>
  <c r="D114" i="6"/>
  <c r="C114" i="6"/>
  <c r="B114" i="6"/>
  <c r="A114" i="6"/>
  <c r="I113" i="6"/>
  <c r="H113" i="6"/>
  <c r="G113" i="6"/>
  <c r="F113" i="6"/>
  <c r="E113" i="6"/>
  <c r="D113" i="6"/>
  <c r="C113" i="6"/>
  <c r="B113" i="6"/>
  <c r="A113" i="6"/>
  <c r="I112" i="6"/>
  <c r="H112" i="6"/>
  <c r="G112" i="6"/>
  <c r="F112" i="6"/>
  <c r="E112" i="6"/>
  <c r="D112" i="6"/>
  <c r="C112" i="6"/>
  <c r="B112" i="6"/>
  <c r="A112" i="6"/>
  <c r="I111" i="6"/>
  <c r="H111" i="6"/>
  <c r="G111" i="6"/>
  <c r="F111" i="6"/>
  <c r="E111" i="6"/>
  <c r="D111" i="6"/>
  <c r="C111" i="6"/>
  <c r="B111" i="6"/>
  <c r="A111" i="6"/>
  <c r="I110" i="6"/>
  <c r="H110" i="6"/>
  <c r="G110" i="6"/>
  <c r="F110" i="6"/>
  <c r="E110" i="6"/>
  <c r="D110" i="6"/>
  <c r="C110" i="6"/>
  <c r="B110" i="6"/>
  <c r="A110" i="6"/>
  <c r="I109" i="6"/>
  <c r="H109" i="6"/>
  <c r="G109" i="6"/>
  <c r="F109" i="6"/>
  <c r="E109" i="6"/>
  <c r="D109" i="6"/>
  <c r="C109" i="6"/>
  <c r="B109" i="6"/>
  <c r="A109" i="6"/>
  <c r="I108" i="6"/>
  <c r="H108" i="6"/>
  <c r="G108" i="6"/>
  <c r="F108" i="6"/>
  <c r="E108" i="6"/>
  <c r="D108" i="6"/>
  <c r="C108" i="6"/>
  <c r="B108" i="6"/>
  <c r="A108" i="6"/>
  <c r="I107" i="6"/>
  <c r="H107" i="6"/>
  <c r="G107" i="6"/>
  <c r="F107" i="6"/>
  <c r="E107" i="6"/>
  <c r="D107" i="6"/>
  <c r="C107" i="6"/>
  <c r="B107" i="6"/>
  <c r="A107" i="6"/>
  <c r="I106" i="6"/>
  <c r="H106" i="6"/>
  <c r="G106" i="6"/>
  <c r="F106" i="6"/>
  <c r="E106" i="6"/>
  <c r="D106" i="6"/>
  <c r="C106" i="6"/>
  <c r="B106" i="6"/>
  <c r="A106" i="6"/>
  <c r="I105" i="6"/>
  <c r="H105" i="6"/>
  <c r="G105" i="6"/>
  <c r="F105" i="6"/>
  <c r="E105" i="6"/>
  <c r="D105" i="6"/>
  <c r="C105" i="6"/>
  <c r="B105" i="6"/>
  <c r="A105" i="6"/>
  <c r="I104" i="6"/>
  <c r="H104" i="6"/>
  <c r="G104" i="6"/>
  <c r="F104" i="6"/>
  <c r="E104" i="6"/>
  <c r="D104" i="6"/>
  <c r="C104" i="6"/>
  <c r="B104" i="6"/>
  <c r="A104" i="6"/>
  <c r="I103" i="6"/>
  <c r="H103" i="6"/>
  <c r="G103" i="6"/>
  <c r="F103" i="6"/>
  <c r="E103" i="6"/>
  <c r="D103" i="6"/>
  <c r="C103" i="6"/>
  <c r="B103" i="6"/>
  <c r="A103" i="6"/>
  <c r="I102" i="6"/>
  <c r="H102" i="6"/>
  <c r="G102" i="6"/>
  <c r="F102" i="6"/>
  <c r="E102" i="6"/>
  <c r="D102" i="6"/>
  <c r="C102" i="6"/>
  <c r="B102" i="6"/>
  <c r="A102" i="6"/>
  <c r="I101" i="6"/>
  <c r="H101" i="6"/>
  <c r="G101" i="6"/>
  <c r="F101" i="6"/>
  <c r="E101" i="6"/>
  <c r="D101" i="6"/>
  <c r="C101" i="6"/>
  <c r="B101" i="6"/>
  <c r="A101" i="6"/>
  <c r="I100" i="6"/>
  <c r="H100" i="6"/>
  <c r="G100" i="6"/>
  <c r="F100" i="6"/>
  <c r="E100" i="6"/>
  <c r="D100" i="6"/>
  <c r="C100" i="6"/>
  <c r="B100" i="6"/>
  <c r="A100" i="6"/>
  <c r="I99" i="6"/>
  <c r="H99" i="6"/>
  <c r="G99" i="6"/>
  <c r="F99" i="6"/>
  <c r="E99" i="6"/>
  <c r="D99" i="6"/>
  <c r="C99" i="6"/>
  <c r="B99" i="6"/>
  <c r="A99" i="6"/>
  <c r="I98" i="6"/>
  <c r="H98" i="6"/>
  <c r="G98" i="6"/>
  <c r="F98" i="6"/>
  <c r="E98" i="6"/>
  <c r="D98" i="6"/>
  <c r="C98" i="6"/>
  <c r="B98" i="6"/>
  <c r="A98" i="6"/>
  <c r="I97" i="6"/>
  <c r="H97" i="6"/>
  <c r="G97" i="6"/>
  <c r="F97" i="6"/>
  <c r="E97" i="6"/>
  <c r="D97" i="6"/>
  <c r="C97" i="6"/>
  <c r="B97" i="6"/>
  <c r="A97" i="6"/>
  <c r="I96" i="6"/>
  <c r="H96" i="6"/>
  <c r="G96" i="6"/>
  <c r="F96" i="6"/>
  <c r="E96" i="6"/>
  <c r="D96" i="6"/>
  <c r="C96" i="6"/>
  <c r="B96" i="6"/>
  <c r="A96" i="6"/>
  <c r="I95" i="6"/>
  <c r="H95" i="6"/>
  <c r="G95" i="6"/>
  <c r="F95" i="6"/>
  <c r="E95" i="6"/>
  <c r="D95" i="6"/>
  <c r="C95" i="6"/>
  <c r="B95" i="6"/>
  <c r="A95" i="6"/>
  <c r="I94" i="6"/>
  <c r="H94" i="6"/>
  <c r="G94" i="6"/>
  <c r="F94" i="6"/>
  <c r="E94" i="6"/>
  <c r="D94" i="6"/>
  <c r="C94" i="6"/>
  <c r="B94" i="6"/>
  <c r="A94" i="6"/>
  <c r="I93" i="6"/>
  <c r="H93" i="6"/>
  <c r="G93" i="6"/>
  <c r="F93" i="6"/>
  <c r="E93" i="6"/>
  <c r="D93" i="6"/>
  <c r="C93" i="6"/>
  <c r="B93" i="6"/>
  <c r="A93" i="6"/>
  <c r="I92" i="6"/>
  <c r="H92" i="6"/>
  <c r="G92" i="6"/>
  <c r="F92" i="6"/>
  <c r="E92" i="6"/>
  <c r="D92" i="6"/>
  <c r="C92" i="6"/>
  <c r="B92" i="6"/>
  <c r="A92" i="6"/>
  <c r="I91" i="6"/>
  <c r="H91" i="6"/>
  <c r="G91" i="6"/>
  <c r="F91" i="6"/>
  <c r="E91" i="6"/>
  <c r="D91" i="6"/>
  <c r="C91" i="6"/>
  <c r="B91" i="6"/>
  <c r="A91" i="6"/>
  <c r="I90" i="6"/>
  <c r="H90" i="6"/>
  <c r="G90" i="6"/>
  <c r="F90" i="6"/>
  <c r="E90" i="6"/>
  <c r="D90" i="6"/>
  <c r="C90" i="6"/>
  <c r="B90" i="6"/>
  <c r="A90" i="6"/>
  <c r="I89" i="6"/>
  <c r="H89" i="6"/>
  <c r="G89" i="6"/>
  <c r="F89" i="6"/>
  <c r="E89" i="6"/>
  <c r="D89" i="6"/>
  <c r="C89" i="6"/>
  <c r="B89" i="6"/>
  <c r="A89" i="6"/>
  <c r="I88" i="6"/>
  <c r="H88" i="6"/>
  <c r="G88" i="6"/>
  <c r="F88" i="6"/>
  <c r="E88" i="6"/>
  <c r="D88" i="6"/>
  <c r="C88" i="6"/>
  <c r="B88" i="6"/>
  <c r="A88" i="6"/>
  <c r="I87" i="6"/>
  <c r="H87" i="6"/>
  <c r="G87" i="6"/>
  <c r="F87" i="6"/>
  <c r="E87" i="6"/>
  <c r="D87" i="6"/>
  <c r="C87" i="6"/>
  <c r="B87" i="6"/>
  <c r="A87" i="6"/>
  <c r="I86" i="6"/>
  <c r="H86" i="6"/>
  <c r="G86" i="6"/>
  <c r="F86" i="6"/>
  <c r="E86" i="6"/>
  <c r="D86" i="6"/>
  <c r="C86" i="6"/>
  <c r="B86" i="6"/>
  <c r="A86" i="6"/>
  <c r="I85" i="6"/>
  <c r="H85" i="6"/>
  <c r="G85" i="6"/>
  <c r="F85" i="6"/>
  <c r="E85" i="6"/>
  <c r="D85" i="6"/>
  <c r="C85" i="6"/>
  <c r="B85" i="6"/>
  <c r="A85" i="6"/>
  <c r="I84" i="6"/>
  <c r="H84" i="6"/>
  <c r="G84" i="6"/>
  <c r="F84" i="6"/>
  <c r="E84" i="6"/>
  <c r="D84" i="6"/>
  <c r="C84" i="6"/>
  <c r="B84" i="6"/>
  <c r="A84" i="6"/>
  <c r="I83" i="6"/>
  <c r="H83" i="6"/>
  <c r="G83" i="6"/>
  <c r="F83" i="6"/>
  <c r="E83" i="6"/>
  <c r="D83" i="6"/>
  <c r="C83" i="6"/>
  <c r="B83" i="6"/>
  <c r="A83" i="6"/>
  <c r="I82" i="6"/>
  <c r="H82" i="6"/>
  <c r="G82" i="6"/>
  <c r="F82" i="6"/>
  <c r="E82" i="6"/>
  <c r="D82" i="6"/>
  <c r="C82" i="6"/>
  <c r="B82" i="6"/>
  <c r="A82" i="6"/>
  <c r="I81" i="6"/>
  <c r="H81" i="6"/>
  <c r="G81" i="6"/>
  <c r="F81" i="6"/>
  <c r="E81" i="6"/>
  <c r="D81" i="6"/>
  <c r="C81" i="6"/>
  <c r="B81" i="6"/>
  <c r="A81" i="6"/>
  <c r="I80" i="6"/>
  <c r="H80" i="6"/>
  <c r="G80" i="6"/>
  <c r="F80" i="6"/>
  <c r="E80" i="6"/>
  <c r="D80" i="6"/>
  <c r="C80" i="6"/>
  <c r="B80" i="6"/>
  <c r="A80" i="6"/>
  <c r="I79" i="6"/>
  <c r="H79" i="6"/>
  <c r="G79" i="6"/>
  <c r="F79" i="6"/>
  <c r="E79" i="6"/>
  <c r="D79" i="6"/>
  <c r="C79" i="6"/>
  <c r="B79" i="6"/>
  <c r="A79" i="6"/>
  <c r="I78" i="6"/>
  <c r="H78" i="6"/>
  <c r="G78" i="6"/>
  <c r="F78" i="6"/>
  <c r="E78" i="6"/>
  <c r="D78" i="6"/>
  <c r="C78" i="6"/>
  <c r="B78" i="6"/>
  <c r="A78" i="6"/>
  <c r="I77" i="6"/>
  <c r="H77" i="6"/>
  <c r="G77" i="6"/>
  <c r="F77" i="6"/>
  <c r="E77" i="6"/>
  <c r="D77" i="6"/>
  <c r="C77" i="6"/>
  <c r="B77" i="6"/>
  <c r="A77" i="6"/>
  <c r="I76" i="6"/>
  <c r="H76" i="6"/>
  <c r="G76" i="6"/>
  <c r="F76" i="6"/>
  <c r="E76" i="6"/>
  <c r="D76" i="6"/>
  <c r="C76" i="6"/>
  <c r="B76" i="6"/>
  <c r="A76" i="6"/>
  <c r="I75" i="6"/>
  <c r="H75" i="6"/>
  <c r="G75" i="6"/>
  <c r="F75" i="6"/>
  <c r="E75" i="6"/>
  <c r="D75" i="6"/>
  <c r="C75" i="6"/>
  <c r="B75" i="6"/>
  <c r="A75" i="6"/>
  <c r="I74" i="6"/>
  <c r="H74" i="6"/>
  <c r="G74" i="6"/>
  <c r="F74" i="6"/>
  <c r="E74" i="6"/>
  <c r="D74" i="6"/>
  <c r="C74" i="6"/>
  <c r="B74" i="6"/>
  <c r="A74" i="6"/>
  <c r="I73" i="6"/>
  <c r="H73" i="6"/>
  <c r="G73" i="6"/>
  <c r="F73" i="6"/>
  <c r="E73" i="6"/>
  <c r="D73" i="6"/>
  <c r="C73" i="6"/>
  <c r="B73" i="6"/>
  <c r="A73" i="6"/>
  <c r="I72" i="6"/>
  <c r="H72" i="6"/>
  <c r="G72" i="6"/>
  <c r="F72" i="6"/>
  <c r="E72" i="6"/>
  <c r="D72" i="6"/>
  <c r="C72" i="6"/>
  <c r="B72" i="6"/>
  <c r="A72" i="6"/>
  <c r="I71" i="6"/>
  <c r="H71" i="6"/>
  <c r="G71" i="6"/>
  <c r="F71" i="6"/>
  <c r="E71" i="6"/>
  <c r="D71" i="6"/>
  <c r="C71" i="6"/>
  <c r="B71" i="6"/>
  <c r="A71" i="6"/>
  <c r="I70" i="6"/>
  <c r="H70" i="6"/>
  <c r="G70" i="6"/>
  <c r="F70" i="6"/>
  <c r="E70" i="6"/>
  <c r="D70" i="6"/>
  <c r="C70" i="6"/>
  <c r="B70" i="6"/>
  <c r="A70" i="6"/>
  <c r="I69" i="6"/>
  <c r="H69" i="6"/>
  <c r="G69" i="6"/>
  <c r="F69" i="6"/>
  <c r="E69" i="6"/>
  <c r="D69" i="6"/>
  <c r="C69" i="6"/>
  <c r="B69" i="6"/>
  <c r="A69" i="6"/>
  <c r="I68" i="6"/>
  <c r="H68" i="6"/>
  <c r="G68" i="6"/>
  <c r="F68" i="6"/>
  <c r="E68" i="6"/>
  <c r="D68" i="6"/>
  <c r="C68" i="6"/>
  <c r="B68" i="6"/>
  <c r="A68" i="6"/>
  <c r="I67" i="6"/>
  <c r="H67" i="6"/>
  <c r="G67" i="6"/>
  <c r="F67" i="6"/>
  <c r="E67" i="6"/>
  <c r="D67" i="6"/>
  <c r="C67" i="6"/>
  <c r="B67" i="6"/>
  <c r="A67" i="6"/>
  <c r="I66" i="6"/>
  <c r="H66" i="6"/>
  <c r="G66" i="6"/>
  <c r="F66" i="6"/>
  <c r="E66" i="6"/>
  <c r="D66" i="6"/>
  <c r="C66" i="6"/>
  <c r="B66" i="6"/>
  <c r="A66" i="6"/>
  <c r="I65" i="6"/>
  <c r="H65" i="6"/>
  <c r="G65" i="6"/>
  <c r="F65" i="6"/>
  <c r="E65" i="6"/>
  <c r="D65" i="6"/>
  <c r="C65" i="6"/>
  <c r="B65" i="6"/>
  <c r="A65" i="6"/>
  <c r="I64" i="6"/>
  <c r="H64" i="6"/>
  <c r="G64" i="6"/>
  <c r="F64" i="6"/>
  <c r="E64" i="6"/>
  <c r="D64" i="6"/>
  <c r="C64" i="6"/>
  <c r="B64" i="6"/>
  <c r="A64" i="6"/>
  <c r="I63" i="6"/>
  <c r="H63" i="6"/>
  <c r="G63" i="6"/>
  <c r="F63" i="6"/>
  <c r="E63" i="6"/>
  <c r="D63" i="6"/>
  <c r="C63" i="6"/>
  <c r="B63" i="6"/>
  <c r="A63" i="6"/>
  <c r="I62" i="6"/>
  <c r="H62" i="6"/>
  <c r="G62" i="6"/>
  <c r="F62" i="6"/>
  <c r="E62" i="6"/>
  <c r="D62" i="6"/>
  <c r="C62" i="6"/>
  <c r="B62" i="6"/>
  <c r="A62" i="6"/>
  <c r="I61" i="6"/>
  <c r="H61" i="6"/>
  <c r="G61" i="6"/>
  <c r="F61" i="6"/>
  <c r="E61" i="6"/>
  <c r="D61" i="6"/>
  <c r="C61" i="6"/>
  <c r="B61" i="6"/>
  <c r="A61" i="6"/>
  <c r="I60" i="6"/>
  <c r="H60" i="6"/>
  <c r="G60" i="6"/>
  <c r="F60" i="6"/>
  <c r="E60" i="6"/>
  <c r="D60" i="6"/>
  <c r="C60" i="6"/>
  <c r="B60" i="6"/>
  <c r="A60" i="6"/>
  <c r="I59" i="6"/>
  <c r="H59" i="6"/>
  <c r="G59" i="6"/>
  <c r="F59" i="6"/>
  <c r="E59" i="6"/>
  <c r="D59" i="6"/>
  <c r="C59" i="6"/>
  <c r="B59" i="6"/>
  <c r="A59" i="6"/>
  <c r="I58" i="6"/>
  <c r="H58" i="6"/>
  <c r="G58" i="6"/>
  <c r="F58" i="6"/>
  <c r="E58" i="6"/>
  <c r="D58" i="6"/>
  <c r="C58" i="6"/>
  <c r="B58" i="6"/>
  <c r="A58" i="6"/>
  <c r="I57" i="6"/>
  <c r="H57" i="6"/>
  <c r="G57" i="6"/>
  <c r="F57" i="6"/>
  <c r="E57" i="6"/>
  <c r="D57" i="6"/>
  <c r="C57" i="6"/>
  <c r="B57" i="6"/>
  <c r="A57" i="6"/>
  <c r="I56" i="6"/>
  <c r="H56" i="6"/>
  <c r="G56" i="6"/>
  <c r="F56" i="6"/>
  <c r="E56" i="6"/>
  <c r="D56" i="6"/>
  <c r="C56" i="6"/>
  <c r="B56" i="6"/>
  <c r="A56" i="6"/>
  <c r="I55" i="6"/>
  <c r="H55" i="6"/>
  <c r="G55" i="6"/>
  <c r="F55" i="6"/>
  <c r="E55" i="6"/>
  <c r="D55" i="6"/>
  <c r="C55" i="6"/>
  <c r="B55" i="6"/>
  <c r="A55" i="6"/>
  <c r="I54" i="6"/>
  <c r="H54" i="6"/>
  <c r="G54" i="6"/>
  <c r="F54" i="6"/>
  <c r="E54" i="6"/>
  <c r="D54" i="6"/>
  <c r="C54" i="6"/>
  <c r="B54" i="6"/>
  <c r="A54" i="6"/>
  <c r="I53" i="6"/>
  <c r="H53" i="6"/>
  <c r="G53" i="6"/>
  <c r="F53" i="6"/>
  <c r="E53" i="6"/>
  <c r="D53" i="6"/>
  <c r="C53" i="6"/>
  <c r="B53" i="6"/>
  <c r="A53" i="6"/>
  <c r="I52" i="6"/>
  <c r="H52" i="6"/>
  <c r="G52" i="6"/>
  <c r="F52" i="6"/>
  <c r="E52" i="6"/>
  <c r="D52" i="6"/>
  <c r="C52" i="6"/>
  <c r="B52" i="6"/>
  <c r="A52" i="6"/>
  <c r="I51" i="6"/>
  <c r="H51" i="6"/>
  <c r="G51" i="6"/>
  <c r="F51" i="6"/>
  <c r="E51" i="6"/>
  <c r="D51" i="6"/>
  <c r="C51" i="6"/>
  <c r="B51" i="6"/>
  <c r="A51" i="6"/>
  <c r="I50" i="6"/>
  <c r="H50" i="6"/>
  <c r="G50" i="6"/>
  <c r="F50" i="6"/>
  <c r="E50" i="6"/>
  <c r="D50" i="6"/>
  <c r="C50" i="6"/>
  <c r="B50" i="6"/>
  <c r="A50" i="6"/>
  <c r="I49" i="6"/>
  <c r="H49" i="6"/>
  <c r="G49" i="6"/>
  <c r="F49" i="6"/>
  <c r="E49" i="6"/>
  <c r="D49" i="6"/>
  <c r="C49" i="6"/>
  <c r="B49" i="6"/>
  <c r="A49" i="6"/>
  <c r="I48" i="6"/>
  <c r="H48" i="6"/>
  <c r="G48" i="6"/>
  <c r="F48" i="6"/>
  <c r="E48" i="6"/>
  <c r="D48" i="6"/>
  <c r="C48" i="6"/>
  <c r="B48" i="6"/>
  <c r="A48" i="6"/>
  <c r="I47" i="6"/>
  <c r="H47" i="6"/>
  <c r="G47" i="6"/>
  <c r="F47" i="6"/>
  <c r="E47" i="6"/>
  <c r="D47" i="6"/>
  <c r="C47" i="6"/>
  <c r="B47" i="6"/>
  <c r="A47" i="6"/>
  <c r="I46" i="6"/>
  <c r="H46" i="6"/>
  <c r="G46" i="6"/>
  <c r="F46" i="6"/>
  <c r="E46" i="6"/>
  <c r="D46" i="6"/>
  <c r="C46" i="6"/>
  <c r="B46" i="6"/>
  <c r="A46" i="6"/>
  <c r="I45" i="6"/>
  <c r="H45" i="6"/>
  <c r="G45" i="6"/>
  <c r="F45" i="6"/>
  <c r="E45" i="6"/>
  <c r="D45" i="6"/>
  <c r="C45" i="6"/>
  <c r="B45" i="6"/>
  <c r="A45" i="6"/>
  <c r="I44" i="6"/>
  <c r="H44" i="6"/>
  <c r="G44" i="6"/>
  <c r="F44" i="6"/>
  <c r="E44" i="6"/>
  <c r="D44" i="6"/>
  <c r="C44" i="6"/>
  <c r="B44" i="6"/>
  <c r="A44" i="6"/>
  <c r="I43" i="6"/>
  <c r="H43" i="6"/>
  <c r="G43" i="6"/>
  <c r="F43" i="6"/>
  <c r="E43" i="6"/>
  <c r="D43" i="6"/>
  <c r="C43" i="6"/>
  <c r="B43" i="6"/>
  <c r="A43" i="6"/>
  <c r="I42" i="6"/>
  <c r="H42" i="6"/>
  <c r="G42" i="6"/>
  <c r="F42" i="6"/>
  <c r="E42" i="6"/>
  <c r="D42" i="6"/>
  <c r="C42" i="6"/>
  <c r="B42" i="6"/>
  <c r="A42" i="6"/>
  <c r="I41" i="6"/>
  <c r="H41" i="6"/>
  <c r="G41" i="6"/>
  <c r="F41" i="6"/>
  <c r="E41" i="6"/>
  <c r="D41" i="6"/>
  <c r="C41" i="6"/>
  <c r="B41" i="6"/>
  <c r="A41" i="6"/>
  <c r="I40" i="6"/>
  <c r="H40" i="6"/>
  <c r="G40" i="6"/>
  <c r="F40" i="6"/>
  <c r="E40" i="6"/>
  <c r="D40" i="6"/>
  <c r="C40" i="6"/>
  <c r="B40" i="6"/>
  <c r="A40" i="6"/>
  <c r="I39" i="6"/>
  <c r="H39" i="6"/>
  <c r="G39" i="6"/>
  <c r="F39" i="6"/>
  <c r="E39" i="6"/>
  <c r="D39" i="6"/>
  <c r="C39" i="6"/>
  <c r="B39" i="6"/>
  <c r="A39" i="6"/>
  <c r="I38" i="6"/>
  <c r="H38" i="6"/>
  <c r="G38" i="6"/>
  <c r="F38" i="6"/>
  <c r="E38" i="6"/>
  <c r="D38" i="6"/>
  <c r="C38" i="6"/>
  <c r="B38" i="6"/>
  <c r="A38" i="6"/>
  <c r="I37" i="6"/>
  <c r="H37" i="6"/>
  <c r="G37" i="6"/>
  <c r="F37" i="6"/>
  <c r="E37" i="6"/>
  <c r="D37" i="6"/>
  <c r="C37" i="6"/>
  <c r="B37" i="6"/>
  <c r="A37" i="6"/>
  <c r="I36" i="6"/>
  <c r="H36" i="6"/>
  <c r="G36" i="6"/>
  <c r="F36" i="6"/>
  <c r="E36" i="6"/>
  <c r="D36" i="6"/>
  <c r="C36" i="6"/>
  <c r="B36" i="6"/>
  <c r="A36" i="6"/>
  <c r="I35" i="6"/>
  <c r="H35" i="6"/>
  <c r="G35" i="6"/>
  <c r="F35" i="6"/>
  <c r="E35" i="6"/>
  <c r="D35" i="6"/>
  <c r="C35" i="6"/>
  <c r="B35" i="6"/>
  <c r="A35" i="6"/>
  <c r="I34" i="6"/>
  <c r="H34" i="6"/>
  <c r="G34" i="6"/>
  <c r="F34" i="6"/>
  <c r="E34" i="6"/>
  <c r="D34" i="6"/>
  <c r="C34" i="6"/>
  <c r="B34" i="6"/>
  <c r="A34" i="6"/>
  <c r="I33" i="6"/>
  <c r="H33" i="6"/>
  <c r="G33" i="6"/>
  <c r="F33" i="6"/>
  <c r="E33" i="6"/>
  <c r="D33" i="6"/>
  <c r="C33" i="6"/>
  <c r="B33" i="6"/>
  <c r="A33" i="6"/>
  <c r="I32" i="6"/>
  <c r="H32" i="6"/>
  <c r="G32" i="6"/>
  <c r="F32" i="6"/>
  <c r="E32" i="6"/>
  <c r="D32" i="6"/>
  <c r="C32" i="6"/>
  <c r="B32" i="6"/>
  <c r="A32" i="6"/>
  <c r="I31" i="6"/>
  <c r="H31" i="6"/>
  <c r="G31" i="6"/>
  <c r="F31" i="6"/>
  <c r="E31" i="6"/>
  <c r="D31" i="6"/>
  <c r="C31" i="6"/>
  <c r="B31" i="6"/>
  <c r="A31" i="6"/>
  <c r="I30" i="6"/>
  <c r="H30" i="6"/>
  <c r="G30" i="6"/>
  <c r="F30" i="6"/>
  <c r="E30" i="6"/>
  <c r="D30" i="6"/>
  <c r="C30" i="6"/>
  <c r="B30" i="6"/>
  <c r="A30" i="6"/>
  <c r="I29" i="6"/>
  <c r="H29" i="6"/>
  <c r="G29" i="6"/>
  <c r="F29" i="6"/>
  <c r="E29" i="6"/>
  <c r="D29" i="6"/>
  <c r="C29" i="6"/>
  <c r="B29" i="6"/>
  <c r="A29" i="6"/>
  <c r="I28" i="6"/>
  <c r="H28" i="6"/>
  <c r="G28" i="6"/>
  <c r="F28" i="6"/>
  <c r="E28" i="6"/>
  <c r="D28" i="6"/>
  <c r="C28" i="6"/>
  <c r="B28" i="6"/>
  <c r="A28" i="6"/>
  <c r="I27" i="6"/>
  <c r="H27" i="6"/>
  <c r="G27" i="6"/>
  <c r="F27" i="6"/>
  <c r="E27" i="6"/>
  <c r="D27" i="6"/>
  <c r="C27" i="6"/>
  <c r="B27" i="6"/>
  <c r="A27" i="6"/>
  <c r="I26" i="6"/>
  <c r="H26" i="6"/>
  <c r="G26" i="6"/>
  <c r="F26" i="6"/>
  <c r="E26" i="6"/>
  <c r="D26" i="6"/>
  <c r="C26" i="6"/>
  <c r="B26" i="6"/>
  <c r="A26" i="6"/>
  <c r="I25" i="6"/>
  <c r="H25" i="6"/>
  <c r="G25" i="6"/>
  <c r="F25" i="6"/>
  <c r="E25" i="6"/>
  <c r="D25" i="6"/>
  <c r="C25" i="6"/>
  <c r="B25" i="6"/>
  <c r="A25" i="6"/>
  <c r="I24" i="6"/>
  <c r="H24" i="6"/>
  <c r="G24" i="6"/>
  <c r="F24" i="6"/>
  <c r="E24" i="6"/>
  <c r="D24" i="6"/>
  <c r="C24" i="6"/>
  <c r="B24" i="6"/>
  <c r="A24" i="6"/>
  <c r="I23" i="6"/>
  <c r="H23" i="6"/>
  <c r="G23" i="6"/>
  <c r="F23" i="6"/>
  <c r="E23" i="6"/>
  <c r="D23" i="6"/>
  <c r="C23" i="6"/>
  <c r="B23" i="6"/>
  <c r="A23" i="6"/>
  <c r="I22" i="6"/>
  <c r="H22" i="6"/>
  <c r="G22" i="6"/>
  <c r="F22" i="6"/>
  <c r="E22" i="6"/>
  <c r="D22" i="6"/>
  <c r="C22" i="6"/>
  <c r="B22" i="6"/>
  <c r="A22" i="6"/>
  <c r="I21" i="6"/>
  <c r="H21" i="6"/>
  <c r="G21" i="6"/>
  <c r="F21" i="6"/>
  <c r="E21" i="6"/>
  <c r="D21" i="6"/>
  <c r="C21" i="6"/>
  <c r="B21" i="6"/>
  <c r="A21" i="6"/>
  <c r="I20" i="6"/>
  <c r="H20" i="6"/>
  <c r="G20" i="6"/>
  <c r="F20" i="6"/>
  <c r="E20" i="6"/>
  <c r="D20" i="6"/>
  <c r="C20" i="6"/>
  <c r="B20" i="6"/>
  <c r="A20" i="6"/>
  <c r="I19" i="6"/>
  <c r="H19" i="6"/>
  <c r="G19" i="6"/>
  <c r="F19" i="6"/>
  <c r="E19" i="6"/>
  <c r="D19" i="6"/>
  <c r="C19" i="6"/>
  <c r="B19" i="6"/>
  <c r="A19" i="6"/>
  <c r="I18" i="6"/>
  <c r="H18" i="6"/>
  <c r="G18" i="6"/>
  <c r="F18" i="6"/>
  <c r="E18" i="6"/>
  <c r="D18" i="6"/>
  <c r="C18" i="6"/>
  <c r="B18" i="6"/>
  <c r="A18" i="6"/>
  <c r="I17" i="6"/>
  <c r="H17" i="6"/>
  <c r="G17" i="6"/>
  <c r="F17" i="6"/>
  <c r="E17" i="6"/>
  <c r="D17" i="6"/>
  <c r="C17" i="6"/>
  <c r="B17" i="6"/>
  <c r="A17" i="6"/>
  <c r="I16" i="6"/>
  <c r="H16" i="6"/>
  <c r="G16" i="6"/>
  <c r="F16" i="6"/>
  <c r="E16" i="6"/>
  <c r="D16" i="6"/>
  <c r="C16" i="6"/>
  <c r="B16" i="6"/>
  <c r="A16" i="6"/>
  <c r="I15" i="6"/>
  <c r="H15" i="6"/>
  <c r="G15" i="6"/>
  <c r="F15" i="6"/>
  <c r="E15" i="6"/>
  <c r="D15" i="6"/>
  <c r="C15" i="6"/>
  <c r="B15" i="6"/>
  <c r="A15" i="6"/>
  <c r="I14" i="6"/>
  <c r="H14" i="6"/>
  <c r="G14" i="6"/>
  <c r="F14" i="6"/>
  <c r="E14" i="6"/>
  <c r="D14" i="6"/>
  <c r="C14" i="6"/>
  <c r="B14" i="6"/>
  <c r="A14" i="6"/>
  <c r="I13" i="6"/>
  <c r="H13" i="6"/>
  <c r="G13" i="6"/>
  <c r="F13" i="6"/>
  <c r="E13" i="6"/>
  <c r="D13" i="6"/>
  <c r="C13" i="6"/>
  <c r="B13" i="6"/>
  <c r="A13" i="6"/>
  <c r="I12" i="6"/>
  <c r="H12" i="6"/>
  <c r="G12" i="6"/>
  <c r="F12" i="6"/>
  <c r="E12" i="6"/>
  <c r="D12" i="6"/>
  <c r="C12" i="6"/>
  <c r="B12" i="6"/>
  <c r="A12" i="6"/>
  <c r="I11" i="6"/>
  <c r="H11" i="6"/>
  <c r="G11" i="6"/>
  <c r="F11" i="6"/>
  <c r="E11" i="6"/>
  <c r="D11" i="6"/>
  <c r="C11" i="6"/>
  <c r="B11" i="6"/>
  <c r="A11" i="6"/>
  <c r="I10" i="6"/>
  <c r="H10" i="6"/>
  <c r="G10" i="6"/>
  <c r="F10" i="6"/>
  <c r="E10" i="6"/>
  <c r="D10" i="6"/>
  <c r="C10" i="6"/>
  <c r="B10" i="6"/>
  <c r="A10" i="6"/>
  <c r="I9" i="6"/>
  <c r="H9" i="6"/>
  <c r="G9" i="6"/>
  <c r="F9" i="6"/>
  <c r="E9" i="6"/>
  <c r="D9" i="6"/>
  <c r="C9" i="6"/>
  <c r="B9" i="6"/>
  <c r="A9" i="6"/>
  <c r="I8" i="6"/>
  <c r="H8" i="6"/>
  <c r="G8" i="6"/>
  <c r="F8" i="6"/>
  <c r="E8" i="6"/>
  <c r="D8" i="6"/>
  <c r="C8" i="6"/>
  <c r="B8" i="6"/>
  <c r="A8" i="6"/>
  <c r="I7" i="6"/>
  <c r="H7" i="6"/>
  <c r="G7" i="6"/>
  <c r="F7" i="6"/>
  <c r="E7" i="6"/>
  <c r="D7" i="6"/>
  <c r="C7" i="6"/>
  <c r="B7" i="6"/>
  <c r="A7" i="6"/>
  <c r="I6" i="6"/>
  <c r="H6" i="6"/>
  <c r="G6" i="6"/>
  <c r="F6" i="6"/>
  <c r="E6" i="6"/>
  <c r="D6" i="6"/>
  <c r="C6" i="6"/>
  <c r="B6" i="6"/>
  <c r="A6" i="6"/>
  <c r="I5" i="6"/>
  <c r="H5" i="6"/>
  <c r="G5" i="6"/>
  <c r="F5" i="6"/>
  <c r="E5" i="6"/>
  <c r="D5" i="6"/>
  <c r="C5" i="6"/>
  <c r="B5" i="6"/>
  <c r="A5" i="6"/>
  <c r="I4" i="6"/>
  <c r="H4" i="6"/>
  <c r="G4" i="6"/>
  <c r="F4" i="6"/>
  <c r="E4" i="6"/>
  <c r="D4" i="6"/>
  <c r="C4" i="6"/>
  <c r="B4" i="6"/>
  <c r="A4" i="6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F203" i="4"/>
  <c r="E203" i="4"/>
  <c r="D203" i="4"/>
  <c r="C203" i="4"/>
  <c r="B203" i="4"/>
  <c r="A203" i="4"/>
  <c r="F202" i="4"/>
  <c r="E202" i="4"/>
  <c r="D202" i="4"/>
  <c r="C202" i="4"/>
  <c r="B202" i="4"/>
  <c r="A202" i="4"/>
  <c r="F201" i="4"/>
  <c r="E201" i="4"/>
  <c r="D201" i="4"/>
  <c r="C201" i="4"/>
  <c r="B201" i="4"/>
  <c r="A201" i="4"/>
  <c r="F200" i="4"/>
  <c r="E200" i="4"/>
  <c r="D200" i="4"/>
  <c r="C200" i="4"/>
  <c r="B200" i="4"/>
  <c r="A200" i="4"/>
  <c r="F199" i="4"/>
  <c r="E199" i="4"/>
  <c r="D199" i="4"/>
  <c r="C199" i="4"/>
  <c r="B199" i="4"/>
  <c r="A199" i="4"/>
  <c r="F198" i="4"/>
  <c r="E198" i="4"/>
  <c r="D198" i="4"/>
  <c r="C198" i="4"/>
  <c r="B198" i="4"/>
  <c r="A198" i="4"/>
  <c r="F197" i="4"/>
  <c r="E197" i="4"/>
  <c r="D197" i="4"/>
  <c r="C197" i="4"/>
  <c r="B197" i="4"/>
  <c r="A197" i="4"/>
  <c r="F196" i="4"/>
  <c r="E196" i="4"/>
  <c r="D196" i="4"/>
  <c r="C196" i="4"/>
  <c r="B196" i="4"/>
  <c r="A196" i="4"/>
  <c r="F195" i="4"/>
  <c r="E195" i="4"/>
  <c r="D195" i="4"/>
  <c r="C195" i="4"/>
  <c r="B195" i="4"/>
  <c r="A195" i="4"/>
  <c r="F194" i="4"/>
  <c r="E194" i="4"/>
  <c r="D194" i="4"/>
  <c r="C194" i="4"/>
  <c r="B194" i="4"/>
  <c r="A194" i="4"/>
  <c r="F193" i="4"/>
  <c r="E193" i="4"/>
  <c r="D193" i="4"/>
  <c r="C193" i="4"/>
  <c r="B193" i="4"/>
  <c r="A193" i="4"/>
  <c r="F192" i="4"/>
  <c r="E192" i="4"/>
  <c r="D192" i="4"/>
  <c r="C192" i="4"/>
  <c r="B192" i="4"/>
  <c r="A192" i="4"/>
  <c r="F191" i="4"/>
  <c r="E191" i="4"/>
  <c r="D191" i="4"/>
  <c r="C191" i="4"/>
  <c r="B191" i="4"/>
  <c r="A191" i="4"/>
  <c r="F190" i="4"/>
  <c r="E190" i="4"/>
  <c r="D190" i="4"/>
  <c r="C190" i="4"/>
  <c r="B190" i="4"/>
  <c r="A190" i="4"/>
  <c r="F189" i="4"/>
  <c r="E189" i="4"/>
  <c r="D189" i="4"/>
  <c r="C189" i="4"/>
  <c r="B189" i="4"/>
  <c r="A189" i="4"/>
  <c r="F188" i="4"/>
  <c r="E188" i="4"/>
  <c r="D188" i="4"/>
  <c r="C188" i="4"/>
  <c r="B188" i="4"/>
  <c r="A188" i="4"/>
  <c r="F187" i="4"/>
  <c r="E187" i="4"/>
  <c r="D187" i="4"/>
  <c r="C187" i="4"/>
  <c r="B187" i="4"/>
  <c r="A187" i="4"/>
  <c r="F186" i="4"/>
  <c r="E186" i="4"/>
  <c r="D186" i="4"/>
  <c r="C186" i="4"/>
  <c r="B186" i="4"/>
  <c r="A186" i="4"/>
  <c r="F185" i="4"/>
  <c r="E185" i="4"/>
  <c r="D185" i="4"/>
  <c r="C185" i="4"/>
  <c r="B185" i="4"/>
  <c r="A185" i="4"/>
  <c r="F184" i="4"/>
  <c r="E184" i="4"/>
  <c r="D184" i="4"/>
  <c r="C184" i="4"/>
  <c r="B184" i="4"/>
  <c r="A184" i="4"/>
  <c r="F183" i="4"/>
  <c r="E183" i="4"/>
  <c r="D183" i="4"/>
  <c r="C183" i="4"/>
  <c r="B183" i="4"/>
  <c r="A183" i="4"/>
  <c r="F182" i="4"/>
  <c r="E182" i="4"/>
  <c r="D182" i="4"/>
  <c r="C182" i="4"/>
  <c r="B182" i="4"/>
  <c r="A182" i="4"/>
  <c r="F181" i="4"/>
  <c r="E181" i="4"/>
  <c r="D181" i="4"/>
  <c r="C181" i="4"/>
  <c r="B181" i="4"/>
  <c r="A181" i="4"/>
  <c r="F180" i="4"/>
  <c r="E180" i="4"/>
  <c r="D180" i="4"/>
  <c r="C180" i="4"/>
  <c r="B180" i="4"/>
  <c r="A180" i="4"/>
  <c r="F179" i="4"/>
  <c r="E179" i="4"/>
  <c r="D179" i="4"/>
  <c r="C179" i="4"/>
  <c r="B179" i="4"/>
  <c r="A179" i="4"/>
  <c r="F178" i="4"/>
  <c r="E178" i="4"/>
  <c r="D178" i="4"/>
  <c r="C178" i="4"/>
  <c r="B178" i="4"/>
  <c r="A178" i="4"/>
  <c r="F177" i="4"/>
  <c r="E177" i="4"/>
  <c r="D177" i="4"/>
  <c r="C177" i="4"/>
  <c r="B177" i="4"/>
  <c r="A177" i="4"/>
  <c r="F176" i="4"/>
  <c r="E176" i="4"/>
  <c r="D176" i="4"/>
  <c r="C176" i="4"/>
  <c r="B176" i="4"/>
  <c r="A176" i="4"/>
  <c r="F175" i="4"/>
  <c r="E175" i="4"/>
  <c r="D175" i="4"/>
  <c r="C175" i="4"/>
  <c r="B175" i="4"/>
  <c r="A175" i="4"/>
  <c r="F174" i="4"/>
  <c r="E174" i="4"/>
  <c r="D174" i="4"/>
  <c r="C174" i="4"/>
  <c r="B174" i="4"/>
  <c r="A174" i="4"/>
  <c r="F173" i="4"/>
  <c r="E173" i="4"/>
  <c r="D173" i="4"/>
  <c r="C173" i="4"/>
  <c r="B173" i="4"/>
  <c r="A173" i="4"/>
  <c r="F172" i="4"/>
  <c r="E172" i="4"/>
  <c r="D172" i="4"/>
  <c r="C172" i="4"/>
  <c r="B172" i="4"/>
  <c r="A172" i="4"/>
  <c r="F171" i="4"/>
  <c r="E171" i="4"/>
  <c r="D171" i="4"/>
  <c r="C171" i="4"/>
  <c r="B171" i="4"/>
  <c r="A171" i="4"/>
  <c r="F170" i="4"/>
  <c r="E170" i="4"/>
  <c r="D170" i="4"/>
  <c r="C170" i="4"/>
  <c r="B170" i="4"/>
  <c r="A170" i="4"/>
  <c r="F169" i="4"/>
  <c r="E169" i="4"/>
  <c r="D169" i="4"/>
  <c r="C169" i="4"/>
  <c r="B169" i="4"/>
  <c r="A169" i="4"/>
  <c r="F168" i="4"/>
  <c r="E168" i="4"/>
  <c r="D168" i="4"/>
  <c r="C168" i="4"/>
  <c r="B168" i="4"/>
  <c r="A168" i="4"/>
  <c r="F167" i="4"/>
  <c r="E167" i="4"/>
  <c r="D167" i="4"/>
  <c r="C167" i="4"/>
  <c r="B167" i="4"/>
  <c r="A167" i="4"/>
  <c r="F166" i="4"/>
  <c r="E166" i="4"/>
  <c r="D166" i="4"/>
  <c r="C166" i="4"/>
  <c r="B166" i="4"/>
  <c r="A166" i="4"/>
  <c r="F165" i="4"/>
  <c r="E165" i="4"/>
  <c r="D165" i="4"/>
  <c r="C165" i="4"/>
  <c r="B165" i="4"/>
  <c r="A165" i="4"/>
  <c r="F164" i="4"/>
  <c r="E164" i="4"/>
  <c r="D164" i="4"/>
  <c r="C164" i="4"/>
  <c r="B164" i="4"/>
  <c r="A164" i="4"/>
  <c r="F163" i="4"/>
  <c r="E163" i="4"/>
  <c r="D163" i="4"/>
  <c r="C163" i="4"/>
  <c r="B163" i="4"/>
  <c r="A163" i="4"/>
  <c r="F162" i="4"/>
  <c r="E162" i="4"/>
  <c r="D162" i="4"/>
  <c r="C162" i="4"/>
  <c r="B162" i="4"/>
  <c r="A162" i="4"/>
  <c r="F161" i="4"/>
  <c r="E161" i="4"/>
  <c r="D161" i="4"/>
  <c r="C161" i="4"/>
  <c r="B161" i="4"/>
  <c r="A161" i="4"/>
  <c r="F160" i="4"/>
  <c r="E160" i="4"/>
  <c r="D160" i="4"/>
  <c r="C160" i="4"/>
  <c r="B160" i="4"/>
  <c r="A160" i="4"/>
  <c r="F159" i="4"/>
  <c r="E159" i="4"/>
  <c r="D159" i="4"/>
  <c r="C159" i="4"/>
  <c r="B159" i="4"/>
  <c r="A159" i="4"/>
  <c r="F158" i="4"/>
  <c r="E158" i="4"/>
  <c r="D158" i="4"/>
  <c r="C158" i="4"/>
  <c r="B158" i="4"/>
  <c r="A158" i="4"/>
  <c r="F157" i="4"/>
  <c r="E157" i="4"/>
  <c r="D157" i="4"/>
  <c r="C157" i="4"/>
  <c r="B157" i="4"/>
  <c r="A157" i="4"/>
  <c r="F156" i="4"/>
  <c r="E156" i="4"/>
  <c r="D156" i="4"/>
  <c r="C156" i="4"/>
  <c r="B156" i="4"/>
  <c r="A156" i="4"/>
  <c r="F155" i="4"/>
  <c r="E155" i="4"/>
  <c r="D155" i="4"/>
  <c r="C155" i="4"/>
  <c r="B155" i="4"/>
  <c r="A155" i="4"/>
  <c r="F154" i="4"/>
  <c r="E154" i="4"/>
  <c r="D154" i="4"/>
  <c r="C154" i="4"/>
  <c r="B154" i="4"/>
  <c r="A154" i="4"/>
  <c r="F153" i="4"/>
  <c r="E153" i="4"/>
  <c r="D153" i="4"/>
  <c r="C153" i="4"/>
  <c r="B153" i="4"/>
  <c r="A153" i="4"/>
  <c r="F152" i="4"/>
  <c r="E152" i="4"/>
  <c r="D152" i="4"/>
  <c r="C152" i="4"/>
  <c r="B152" i="4"/>
  <c r="A152" i="4"/>
  <c r="F151" i="4"/>
  <c r="E151" i="4"/>
  <c r="D151" i="4"/>
  <c r="C151" i="4"/>
  <c r="B151" i="4"/>
  <c r="A151" i="4"/>
  <c r="F150" i="4"/>
  <c r="E150" i="4"/>
  <c r="D150" i="4"/>
  <c r="C150" i="4"/>
  <c r="B150" i="4"/>
  <c r="A150" i="4"/>
  <c r="F149" i="4"/>
  <c r="E149" i="4"/>
  <c r="D149" i="4"/>
  <c r="C149" i="4"/>
  <c r="B149" i="4"/>
  <c r="A149" i="4"/>
  <c r="F148" i="4"/>
  <c r="E148" i="4"/>
  <c r="D148" i="4"/>
  <c r="C148" i="4"/>
  <c r="B148" i="4"/>
  <c r="A148" i="4"/>
  <c r="F147" i="4"/>
  <c r="E147" i="4"/>
  <c r="D147" i="4"/>
  <c r="C147" i="4"/>
  <c r="B147" i="4"/>
  <c r="A147" i="4"/>
  <c r="F146" i="4"/>
  <c r="E146" i="4"/>
  <c r="D146" i="4"/>
  <c r="C146" i="4"/>
  <c r="B146" i="4"/>
  <c r="A146" i="4"/>
  <c r="F145" i="4"/>
  <c r="E145" i="4"/>
  <c r="D145" i="4"/>
  <c r="C145" i="4"/>
  <c r="B145" i="4"/>
  <c r="A145" i="4"/>
  <c r="F144" i="4"/>
  <c r="E144" i="4"/>
  <c r="D144" i="4"/>
  <c r="C144" i="4"/>
  <c r="B144" i="4"/>
  <c r="A144" i="4"/>
  <c r="F143" i="4"/>
  <c r="E143" i="4"/>
  <c r="D143" i="4"/>
  <c r="C143" i="4"/>
  <c r="B143" i="4"/>
  <c r="A143" i="4"/>
  <c r="F142" i="4"/>
  <c r="E142" i="4"/>
  <c r="D142" i="4"/>
  <c r="C142" i="4"/>
  <c r="B142" i="4"/>
  <c r="A142" i="4"/>
  <c r="F141" i="4"/>
  <c r="E141" i="4"/>
  <c r="D141" i="4"/>
  <c r="C141" i="4"/>
  <c r="B141" i="4"/>
  <c r="A141" i="4"/>
  <c r="F140" i="4"/>
  <c r="E140" i="4"/>
  <c r="D140" i="4"/>
  <c r="C140" i="4"/>
  <c r="B140" i="4"/>
  <c r="A140" i="4"/>
  <c r="F139" i="4"/>
  <c r="E139" i="4"/>
  <c r="D139" i="4"/>
  <c r="C139" i="4"/>
  <c r="B139" i="4"/>
  <c r="A139" i="4"/>
  <c r="F138" i="4"/>
  <c r="E138" i="4"/>
  <c r="D138" i="4"/>
  <c r="C138" i="4"/>
  <c r="B138" i="4"/>
  <c r="A138" i="4"/>
  <c r="F137" i="4"/>
  <c r="E137" i="4"/>
  <c r="D137" i="4"/>
  <c r="C137" i="4"/>
  <c r="B137" i="4"/>
  <c r="A137" i="4"/>
  <c r="F136" i="4"/>
  <c r="E136" i="4"/>
  <c r="D136" i="4"/>
  <c r="C136" i="4"/>
  <c r="B136" i="4"/>
  <c r="A136" i="4"/>
  <c r="F135" i="4"/>
  <c r="E135" i="4"/>
  <c r="D135" i="4"/>
  <c r="C135" i="4"/>
  <c r="B135" i="4"/>
  <c r="A135" i="4"/>
  <c r="F134" i="4"/>
  <c r="E134" i="4"/>
  <c r="D134" i="4"/>
  <c r="C134" i="4"/>
  <c r="B134" i="4"/>
  <c r="A134" i="4"/>
  <c r="F133" i="4"/>
  <c r="E133" i="4"/>
  <c r="D133" i="4"/>
  <c r="C133" i="4"/>
  <c r="B133" i="4"/>
  <c r="A133" i="4"/>
  <c r="F132" i="4"/>
  <c r="E132" i="4"/>
  <c r="D132" i="4"/>
  <c r="C132" i="4"/>
  <c r="B132" i="4"/>
  <c r="A132" i="4"/>
  <c r="F131" i="4"/>
  <c r="E131" i="4"/>
  <c r="D131" i="4"/>
  <c r="C131" i="4"/>
  <c r="B131" i="4"/>
  <c r="A131" i="4"/>
  <c r="F130" i="4"/>
  <c r="E130" i="4"/>
  <c r="D130" i="4"/>
  <c r="C130" i="4"/>
  <c r="B130" i="4"/>
  <c r="A130" i="4"/>
  <c r="F129" i="4"/>
  <c r="E129" i="4"/>
  <c r="D129" i="4"/>
  <c r="C129" i="4"/>
  <c r="B129" i="4"/>
  <c r="A129" i="4"/>
  <c r="F128" i="4"/>
  <c r="E128" i="4"/>
  <c r="D128" i="4"/>
  <c r="C128" i="4"/>
  <c r="B128" i="4"/>
  <c r="A128" i="4"/>
  <c r="F127" i="4"/>
  <c r="E127" i="4"/>
  <c r="D127" i="4"/>
  <c r="C127" i="4"/>
  <c r="B127" i="4"/>
  <c r="A127" i="4"/>
  <c r="F126" i="4"/>
  <c r="E126" i="4"/>
  <c r="D126" i="4"/>
  <c r="C126" i="4"/>
  <c r="B126" i="4"/>
  <c r="A126" i="4"/>
  <c r="F125" i="4"/>
  <c r="E125" i="4"/>
  <c r="D125" i="4"/>
  <c r="C125" i="4"/>
  <c r="B125" i="4"/>
  <c r="A125" i="4"/>
  <c r="F124" i="4"/>
  <c r="E124" i="4"/>
  <c r="D124" i="4"/>
  <c r="C124" i="4"/>
  <c r="B124" i="4"/>
  <c r="A124" i="4"/>
  <c r="F123" i="4"/>
  <c r="E123" i="4"/>
  <c r="D123" i="4"/>
  <c r="C123" i="4"/>
  <c r="B123" i="4"/>
  <c r="A123" i="4"/>
  <c r="F122" i="4"/>
  <c r="E122" i="4"/>
  <c r="D122" i="4"/>
  <c r="C122" i="4"/>
  <c r="B122" i="4"/>
  <c r="A122" i="4"/>
  <c r="F121" i="4"/>
  <c r="E121" i="4"/>
  <c r="D121" i="4"/>
  <c r="C121" i="4"/>
  <c r="B121" i="4"/>
  <c r="A121" i="4"/>
  <c r="F120" i="4"/>
  <c r="E120" i="4"/>
  <c r="D120" i="4"/>
  <c r="C120" i="4"/>
  <c r="B120" i="4"/>
  <c r="A120" i="4"/>
  <c r="F119" i="4"/>
  <c r="E119" i="4"/>
  <c r="D119" i="4"/>
  <c r="C119" i="4"/>
  <c r="B119" i="4"/>
  <c r="A119" i="4"/>
  <c r="F118" i="4"/>
  <c r="E118" i="4"/>
  <c r="D118" i="4"/>
  <c r="C118" i="4"/>
  <c r="B118" i="4"/>
  <c r="A118" i="4"/>
  <c r="F117" i="4"/>
  <c r="E117" i="4"/>
  <c r="D117" i="4"/>
  <c r="C117" i="4"/>
  <c r="B117" i="4"/>
  <c r="A117" i="4"/>
  <c r="F116" i="4"/>
  <c r="E116" i="4"/>
  <c r="D116" i="4"/>
  <c r="C116" i="4"/>
  <c r="B116" i="4"/>
  <c r="A116" i="4"/>
  <c r="F115" i="4"/>
  <c r="E115" i="4"/>
  <c r="D115" i="4"/>
  <c r="C115" i="4"/>
  <c r="B115" i="4"/>
  <c r="A115" i="4"/>
  <c r="F114" i="4"/>
  <c r="E114" i="4"/>
  <c r="D114" i="4"/>
  <c r="C114" i="4"/>
  <c r="B114" i="4"/>
  <c r="A114" i="4"/>
  <c r="F113" i="4"/>
  <c r="E113" i="4"/>
  <c r="D113" i="4"/>
  <c r="C113" i="4"/>
  <c r="B113" i="4"/>
  <c r="A113" i="4"/>
  <c r="F112" i="4"/>
  <c r="E112" i="4"/>
  <c r="D112" i="4"/>
  <c r="C112" i="4"/>
  <c r="B112" i="4"/>
  <c r="A112" i="4"/>
  <c r="F111" i="4"/>
  <c r="E111" i="4"/>
  <c r="D111" i="4"/>
  <c r="C111" i="4"/>
  <c r="B111" i="4"/>
  <c r="A111" i="4"/>
  <c r="F110" i="4"/>
  <c r="E110" i="4"/>
  <c r="D110" i="4"/>
  <c r="C110" i="4"/>
  <c r="B110" i="4"/>
  <c r="A110" i="4"/>
  <c r="F109" i="4"/>
  <c r="E109" i="4"/>
  <c r="D109" i="4"/>
  <c r="C109" i="4"/>
  <c r="B109" i="4"/>
  <c r="A109" i="4"/>
  <c r="F108" i="4"/>
  <c r="E108" i="4"/>
  <c r="D108" i="4"/>
  <c r="C108" i="4"/>
  <c r="B108" i="4"/>
  <c r="A108" i="4"/>
  <c r="F107" i="4"/>
  <c r="E107" i="4"/>
  <c r="D107" i="4"/>
  <c r="C107" i="4"/>
  <c r="B107" i="4"/>
  <c r="A107" i="4"/>
  <c r="F106" i="4"/>
  <c r="E106" i="4"/>
  <c r="D106" i="4"/>
  <c r="C106" i="4"/>
  <c r="B106" i="4"/>
  <c r="A106" i="4"/>
  <c r="F105" i="4"/>
  <c r="E105" i="4"/>
  <c r="D105" i="4"/>
  <c r="C105" i="4"/>
  <c r="B105" i="4"/>
  <c r="A105" i="4"/>
  <c r="F104" i="4"/>
  <c r="E104" i="4"/>
  <c r="D104" i="4"/>
  <c r="C104" i="4"/>
  <c r="B104" i="4"/>
  <c r="A104" i="4"/>
  <c r="F103" i="4"/>
  <c r="E103" i="4"/>
  <c r="D103" i="4"/>
  <c r="C103" i="4"/>
  <c r="B103" i="4"/>
  <c r="A103" i="4"/>
  <c r="F102" i="4"/>
  <c r="E102" i="4"/>
  <c r="D102" i="4"/>
  <c r="C102" i="4"/>
  <c r="B102" i="4"/>
  <c r="A102" i="4"/>
  <c r="F101" i="4"/>
  <c r="E101" i="4"/>
  <c r="D101" i="4"/>
  <c r="C101" i="4"/>
  <c r="B101" i="4"/>
  <c r="A101" i="4"/>
  <c r="F100" i="4"/>
  <c r="E100" i="4"/>
  <c r="D100" i="4"/>
  <c r="C100" i="4"/>
  <c r="B100" i="4"/>
  <c r="A100" i="4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F95" i="4"/>
  <c r="E95" i="4"/>
  <c r="D95" i="4"/>
  <c r="C95" i="4"/>
  <c r="B95" i="4"/>
  <c r="A95" i="4"/>
  <c r="F94" i="4"/>
  <c r="E94" i="4"/>
  <c r="D94" i="4"/>
  <c r="C94" i="4"/>
  <c r="B94" i="4"/>
  <c r="A94" i="4"/>
  <c r="F93" i="4"/>
  <c r="E93" i="4"/>
  <c r="D93" i="4"/>
  <c r="C93" i="4"/>
  <c r="B93" i="4"/>
  <c r="A93" i="4"/>
  <c r="F92" i="4"/>
  <c r="E92" i="4"/>
  <c r="D92" i="4"/>
  <c r="C92" i="4"/>
  <c r="B92" i="4"/>
  <c r="A92" i="4"/>
  <c r="F91" i="4"/>
  <c r="E91" i="4"/>
  <c r="D91" i="4"/>
  <c r="C91" i="4"/>
  <c r="B91" i="4"/>
  <c r="A91" i="4"/>
  <c r="F90" i="4"/>
  <c r="E90" i="4"/>
  <c r="D90" i="4"/>
  <c r="C90" i="4"/>
  <c r="B90" i="4"/>
  <c r="A90" i="4"/>
  <c r="F89" i="4"/>
  <c r="E89" i="4"/>
  <c r="D89" i="4"/>
  <c r="C89" i="4"/>
  <c r="B89" i="4"/>
  <c r="A89" i="4"/>
  <c r="F88" i="4"/>
  <c r="E88" i="4"/>
  <c r="D88" i="4"/>
  <c r="C88" i="4"/>
  <c r="B88" i="4"/>
  <c r="A88" i="4"/>
  <c r="F87" i="4"/>
  <c r="E87" i="4"/>
  <c r="D87" i="4"/>
  <c r="C87" i="4"/>
  <c r="B87" i="4"/>
  <c r="A87" i="4"/>
  <c r="F86" i="4"/>
  <c r="E86" i="4"/>
  <c r="D86" i="4"/>
  <c r="C86" i="4"/>
  <c r="B86" i="4"/>
  <c r="A86" i="4"/>
  <c r="F85" i="4"/>
  <c r="E85" i="4"/>
  <c r="D85" i="4"/>
  <c r="C85" i="4"/>
  <c r="B85" i="4"/>
  <c r="A85" i="4"/>
  <c r="F84" i="4"/>
  <c r="E84" i="4"/>
  <c r="D84" i="4"/>
  <c r="C84" i="4"/>
  <c r="B84" i="4"/>
  <c r="A84" i="4"/>
  <c r="F83" i="4"/>
  <c r="E83" i="4"/>
  <c r="D83" i="4"/>
  <c r="C83" i="4"/>
  <c r="B83" i="4"/>
  <c r="A83" i="4"/>
  <c r="F82" i="4"/>
  <c r="E82" i="4"/>
  <c r="D82" i="4"/>
  <c r="C82" i="4"/>
  <c r="B82" i="4"/>
  <c r="A82" i="4"/>
  <c r="F81" i="4"/>
  <c r="E81" i="4"/>
  <c r="D81" i="4"/>
  <c r="C81" i="4"/>
  <c r="B81" i="4"/>
  <c r="A81" i="4"/>
  <c r="F80" i="4"/>
  <c r="E80" i="4"/>
  <c r="D80" i="4"/>
  <c r="C80" i="4"/>
  <c r="B80" i="4"/>
  <c r="A80" i="4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A77" i="4"/>
  <c r="F76" i="4"/>
  <c r="E76" i="4"/>
  <c r="D76" i="4"/>
  <c r="C76" i="4"/>
  <c r="B76" i="4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D73" i="4"/>
  <c r="C73" i="4"/>
  <c r="B73" i="4"/>
  <c r="A73" i="4"/>
  <c r="F72" i="4"/>
  <c r="E72" i="4"/>
  <c r="D72" i="4"/>
  <c r="C72" i="4"/>
  <c r="B72" i="4"/>
  <c r="A72" i="4"/>
  <c r="F71" i="4"/>
  <c r="E71" i="4"/>
  <c r="D71" i="4"/>
  <c r="C71" i="4"/>
  <c r="B71" i="4"/>
  <c r="A71" i="4"/>
  <c r="F70" i="4"/>
  <c r="E70" i="4"/>
  <c r="D70" i="4"/>
  <c r="C70" i="4"/>
  <c r="B70" i="4"/>
  <c r="A70" i="4"/>
  <c r="F69" i="4"/>
  <c r="E69" i="4"/>
  <c r="D69" i="4"/>
  <c r="C69" i="4"/>
  <c r="B69" i="4"/>
  <c r="A69" i="4"/>
  <c r="F68" i="4"/>
  <c r="E68" i="4"/>
  <c r="D68" i="4"/>
  <c r="C68" i="4"/>
  <c r="B68" i="4"/>
  <c r="A68" i="4"/>
  <c r="F67" i="4"/>
  <c r="E67" i="4"/>
  <c r="D67" i="4"/>
  <c r="C67" i="4"/>
  <c r="B67" i="4"/>
  <c r="A67" i="4"/>
  <c r="F66" i="4"/>
  <c r="E66" i="4"/>
  <c r="D66" i="4"/>
  <c r="C66" i="4"/>
  <c r="B66" i="4"/>
  <c r="A66" i="4"/>
  <c r="F65" i="4"/>
  <c r="E65" i="4"/>
  <c r="D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A63" i="4"/>
  <c r="F62" i="4"/>
  <c r="E62" i="4"/>
  <c r="D62" i="4"/>
  <c r="C62" i="4"/>
  <c r="B62" i="4"/>
  <c r="A62" i="4"/>
  <c r="F61" i="4"/>
  <c r="E61" i="4"/>
  <c r="D61" i="4"/>
  <c r="C61" i="4"/>
  <c r="B61" i="4"/>
  <c r="A61" i="4"/>
  <c r="F60" i="4"/>
  <c r="E60" i="4"/>
  <c r="D60" i="4"/>
  <c r="C60" i="4"/>
  <c r="B60" i="4"/>
  <c r="A60" i="4"/>
  <c r="F59" i="4"/>
  <c r="E59" i="4"/>
  <c r="D59" i="4"/>
  <c r="C59" i="4"/>
  <c r="B59" i="4"/>
  <c r="A59" i="4"/>
  <c r="F58" i="4"/>
  <c r="E58" i="4"/>
  <c r="D58" i="4"/>
  <c r="C58" i="4"/>
  <c r="B58" i="4"/>
  <c r="A58" i="4"/>
  <c r="F57" i="4"/>
  <c r="E57" i="4"/>
  <c r="D57" i="4"/>
  <c r="C57" i="4"/>
  <c r="B57" i="4"/>
  <c r="A57" i="4"/>
  <c r="F56" i="4"/>
  <c r="E56" i="4"/>
  <c r="D56" i="4"/>
  <c r="C56" i="4"/>
  <c r="B56" i="4"/>
  <c r="A56" i="4"/>
  <c r="F55" i="4"/>
  <c r="E55" i="4"/>
  <c r="D55" i="4"/>
  <c r="C55" i="4"/>
  <c r="B55" i="4"/>
  <c r="A55" i="4"/>
  <c r="F54" i="4"/>
  <c r="E54" i="4"/>
  <c r="D54" i="4"/>
  <c r="C54" i="4"/>
  <c r="B54" i="4"/>
  <c r="A54" i="4"/>
  <c r="F53" i="4"/>
  <c r="E53" i="4"/>
  <c r="D53" i="4"/>
  <c r="C53" i="4"/>
  <c r="B53" i="4"/>
  <c r="A53" i="4"/>
  <c r="F52" i="4"/>
  <c r="E52" i="4"/>
  <c r="D52" i="4"/>
  <c r="C52" i="4"/>
  <c r="B52" i="4"/>
  <c r="A52" i="4"/>
  <c r="F51" i="4"/>
  <c r="E51" i="4"/>
  <c r="D51" i="4"/>
  <c r="C51" i="4"/>
  <c r="B51" i="4"/>
  <c r="A51" i="4"/>
  <c r="F50" i="4"/>
  <c r="E50" i="4"/>
  <c r="D50" i="4"/>
  <c r="C50" i="4"/>
  <c r="B50" i="4"/>
  <c r="A50" i="4"/>
  <c r="F49" i="4"/>
  <c r="E49" i="4"/>
  <c r="D49" i="4"/>
  <c r="C49" i="4"/>
  <c r="B49" i="4"/>
  <c r="A49" i="4"/>
  <c r="F48" i="4"/>
  <c r="E48" i="4"/>
  <c r="D48" i="4"/>
  <c r="C48" i="4"/>
  <c r="B48" i="4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A41" i="4"/>
  <c r="F40" i="4"/>
  <c r="E40" i="4"/>
  <c r="D40" i="4"/>
  <c r="C40" i="4"/>
  <c r="B40" i="4"/>
  <c r="A40" i="4"/>
  <c r="F39" i="4"/>
  <c r="E39" i="4"/>
  <c r="D39" i="4"/>
  <c r="C39" i="4"/>
  <c r="B39" i="4"/>
  <c r="A39" i="4"/>
  <c r="F38" i="4"/>
  <c r="E38" i="4"/>
  <c r="D38" i="4"/>
  <c r="C38" i="4"/>
  <c r="B38" i="4"/>
  <c r="A38" i="4"/>
  <c r="F37" i="4"/>
  <c r="E37" i="4"/>
  <c r="D37" i="4"/>
  <c r="C37" i="4"/>
  <c r="B37" i="4"/>
  <c r="A37" i="4"/>
  <c r="F36" i="4"/>
  <c r="E36" i="4"/>
  <c r="D36" i="4"/>
  <c r="C36" i="4"/>
  <c r="B36" i="4"/>
  <c r="A36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G14" i="8" l="1"/>
  <c r="G22" i="8"/>
  <c r="G30" i="8"/>
  <c r="G15" i="8"/>
  <c r="G23" i="8"/>
  <c r="G31" i="8"/>
  <c r="G175" i="8"/>
  <c r="G9" i="8"/>
  <c r="G17" i="8"/>
  <c r="G25" i="8"/>
  <c r="G33" i="8"/>
  <c r="G16" i="8"/>
  <c r="G24" i="8"/>
  <c r="G32" i="8"/>
  <c r="G128" i="8"/>
  <c r="G136" i="8"/>
  <c r="G144" i="8"/>
  <c r="G152" i="8"/>
  <c r="G160" i="8"/>
  <c r="G168" i="8"/>
  <c r="G176" i="8"/>
  <c r="G184" i="8"/>
  <c r="G192" i="8"/>
  <c r="G200" i="8"/>
  <c r="G41" i="8"/>
  <c r="G49" i="8"/>
  <c r="G57" i="8"/>
  <c r="G65" i="8"/>
  <c r="G73" i="8"/>
  <c r="G81" i="8"/>
  <c r="G89" i="8"/>
  <c r="G97" i="8"/>
  <c r="G105" i="8"/>
  <c r="G113" i="8"/>
  <c r="B5" i="8"/>
  <c r="G13" i="8"/>
  <c r="G21" i="8"/>
  <c r="G29" i="8"/>
  <c r="G37" i="8"/>
  <c r="G197" i="8"/>
  <c r="G205" i="8"/>
  <c r="G12" i="8"/>
  <c r="G20" i="8"/>
  <c r="G28" i="8"/>
  <c r="G36" i="8"/>
  <c r="G11" i="8"/>
  <c r="G19" i="8"/>
  <c r="G27" i="8"/>
  <c r="G35" i="8"/>
  <c r="G10" i="8"/>
  <c r="G18" i="8"/>
  <c r="G26" i="8"/>
  <c r="G34" i="8"/>
  <c r="G40" i="8"/>
  <c r="G48" i="8"/>
  <c r="G56" i="8"/>
  <c r="G64" i="8"/>
  <c r="G72" i="8"/>
  <c r="G80" i="8"/>
  <c r="G88" i="8"/>
  <c r="G96" i="8"/>
  <c r="G104" i="8"/>
  <c r="G112" i="8"/>
  <c r="G122" i="8"/>
  <c r="G183" i="8"/>
  <c r="G199" i="8"/>
  <c r="G207" i="8"/>
  <c r="G39" i="8"/>
  <c r="G47" i="8"/>
  <c r="G55" i="8"/>
  <c r="G63" i="8"/>
  <c r="G71" i="8"/>
  <c r="G79" i="8"/>
  <c r="G87" i="8"/>
  <c r="G95" i="8"/>
  <c r="G103" i="8"/>
  <c r="G111" i="8"/>
  <c r="G121" i="8"/>
  <c r="G126" i="8"/>
  <c r="G134" i="8"/>
  <c r="G142" i="8"/>
  <c r="G150" i="8"/>
  <c r="G158" i="8"/>
  <c r="G166" i="8"/>
  <c r="G174" i="8"/>
  <c r="G182" i="8"/>
  <c r="G190" i="8"/>
  <c r="G198" i="8"/>
  <c r="G206" i="8"/>
  <c r="G119" i="8"/>
  <c r="G196" i="8"/>
  <c r="G204" i="8"/>
  <c r="G195" i="8"/>
  <c r="G203" i="8"/>
  <c r="G202" i="8"/>
  <c r="G120" i="8"/>
  <c r="G42" i="8"/>
  <c r="G50" i="8"/>
  <c r="G58" i="8"/>
  <c r="G66" i="8"/>
  <c r="G74" i="8"/>
  <c r="G82" i="8"/>
  <c r="G90" i="8"/>
  <c r="G98" i="8"/>
  <c r="G106" i="8"/>
  <c r="G114" i="8"/>
  <c r="G177" i="8"/>
  <c r="G185" i="8"/>
  <c r="G193" i="8"/>
  <c r="G201" i="8"/>
  <c r="G38" i="8"/>
  <c r="G46" i="8"/>
  <c r="G54" i="8"/>
  <c r="G62" i="8"/>
  <c r="G70" i="8"/>
  <c r="G78" i="8"/>
  <c r="G86" i="8"/>
  <c r="G94" i="8"/>
  <c r="G102" i="8"/>
  <c r="G110" i="8"/>
  <c r="G118" i="8"/>
  <c r="G45" i="8"/>
  <c r="G53" i="8"/>
  <c r="G61" i="8"/>
  <c r="G69" i="8"/>
  <c r="G77" i="8"/>
  <c r="G85" i="8"/>
  <c r="G93" i="8"/>
  <c r="G101" i="8"/>
  <c r="G109" i="8"/>
  <c r="G117" i="8"/>
  <c r="G44" i="8"/>
  <c r="G52" i="8"/>
  <c r="G60" i="8"/>
  <c r="G68" i="8"/>
  <c r="G76" i="8"/>
  <c r="G84" i="8"/>
  <c r="G92" i="8"/>
  <c r="G100" i="8"/>
  <c r="G108" i="8"/>
  <c r="G116" i="8"/>
  <c r="G43" i="8"/>
  <c r="G51" i="8"/>
  <c r="G59" i="8"/>
  <c r="G67" i="8"/>
  <c r="G75" i="8"/>
  <c r="G83" i="8"/>
  <c r="G91" i="8"/>
  <c r="G99" i="8"/>
  <c r="G107" i="8"/>
  <c r="G115" i="8"/>
  <c r="G129" i="8"/>
  <c r="G137" i="8"/>
  <c r="G145" i="8"/>
  <c r="G153" i="8"/>
  <c r="G161" i="8"/>
  <c r="G169" i="8"/>
  <c r="G127" i="8"/>
  <c r="G135" i="8"/>
  <c r="G143" i="8"/>
  <c r="G151" i="8"/>
  <c r="G159" i="8"/>
  <c r="G167" i="8"/>
  <c r="G191" i="8"/>
  <c r="G125" i="8"/>
  <c r="G133" i="8"/>
  <c r="G141" i="8"/>
  <c r="G149" i="8"/>
  <c r="G157" i="8"/>
  <c r="G165" i="8"/>
  <c r="G173" i="8"/>
  <c r="G181" i="8"/>
  <c r="G189" i="8"/>
  <c r="G124" i="8"/>
  <c r="G132" i="8"/>
  <c r="G140" i="8"/>
  <c r="G148" i="8"/>
  <c r="G156" i="8"/>
  <c r="G164" i="8"/>
  <c r="G172" i="8"/>
  <c r="G180" i="8"/>
  <c r="G188" i="8"/>
  <c r="G123" i="8"/>
  <c r="G131" i="8"/>
  <c r="G139" i="8"/>
  <c r="G147" i="8"/>
  <c r="G155" i="8"/>
  <c r="G163" i="8"/>
  <c r="G171" i="8"/>
  <c r="G179" i="8"/>
  <c r="G187" i="8"/>
  <c r="G130" i="8"/>
  <c r="G138" i="8"/>
  <c r="G146" i="8"/>
  <c r="G154" i="8"/>
  <c r="G162" i="8"/>
  <c r="G170" i="8"/>
  <c r="G178" i="8"/>
  <c r="G186" i="8"/>
  <c r="G194" i="8"/>
  <c r="B4" i="8" l="1"/>
  <c r="B3" i="8"/>
</calcChain>
</file>

<file path=xl/sharedStrings.xml><?xml version="1.0" encoding="utf-8"?>
<sst xmlns="http://schemas.openxmlformats.org/spreadsheetml/2006/main" count="220" uniqueCount="129">
  <si>
    <t>CONTROL LOGÍSTICO GRUPASA - GALAGANS</t>
  </si>
  <si>
    <t>Objetivo</t>
  </si>
  <si>
    <t>Este archivo vive en Excel Online y una sola persona debe mantenerlo. El programa lo descargará todos los días a las 10:00 para actualizar el dashboard.</t>
  </si>
  <si>
    <t>Hoja 1 - Registro_Contenedores</t>
  </si>
  <si>
    <t>Crear nuevos contenedores. Aquí también se define el Depósito de Vacío.</t>
  </si>
  <si>
    <t>Hoja 2 - Planif_Grupasa</t>
  </si>
  <si>
    <t>Llenar Plan_Llegada_Grupasa, Bodega, Hora_Descarga y Comentario_Plan.</t>
  </si>
  <si>
    <t>Hoja 3 - Planif_Galagans</t>
  </si>
  <si>
    <t>Llenar Plan_Llegada_Patio, Plan_Devolucion_Vacio y Comentario_Plan. La llegada a Grupasa y la hora de descarga vienen desde la planificación de Grupasa.</t>
  </si>
  <si>
    <t>Hoja 4 - Status_Operativo</t>
  </si>
  <si>
    <t>Actualizar Status_Actual, Horario_Entrega_Real, Tipo_Incidencia y Comentario. Horario_Entrega_Real solo aplica cuando el status es ENTREGADO.</t>
  </si>
  <si>
    <t>Hoja 5 - Base_Historica</t>
  </si>
  <si>
    <t>Solo consulta. Aquí debe quedar el historial que cargue el programa automático.</t>
  </si>
  <si>
    <t>Hoja 6 - Control_Calidad</t>
  </si>
  <si>
    <t>Revisar esta pestaña antes de cerrar. Si aparece ERROR, corregir lo indicado antes de que el archivo sea descargado por el programa.</t>
  </si>
  <si>
    <t>CATÁLOGOS Y LISTAS</t>
  </si>
  <si>
    <t>Puertos</t>
  </si>
  <si>
    <t>Navieras</t>
  </si>
  <si>
    <t>Status</t>
  </si>
  <si>
    <t>Tipo_Incidencia</t>
  </si>
  <si>
    <t>Bodegas</t>
  </si>
  <si>
    <t>Depositos</t>
  </si>
  <si>
    <t>CGSA</t>
  </si>
  <si>
    <t>CMA CGM</t>
  </si>
  <si>
    <t>EN PUERTO</t>
  </si>
  <si>
    <t>SIN NOVEDAD</t>
  </si>
  <si>
    <t>BODEGA SIERRA</t>
  </si>
  <si>
    <t>BLASTI</t>
  </si>
  <si>
    <t>NAPORTEC</t>
  </si>
  <si>
    <t>HALO</t>
  </si>
  <si>
    <t>EN PATIO GALAGANS</t>
  </si>
  <si>
    <t>DOCUMENTAL</t>
  </si>
  <si>
    <t>CAMPO CHINO</t>
  </si>
  <si>
    <t>MEDLOG</t>
  </si>
  <si>
    <t>TPG</t>
  </si>
  <si>
    <t>MSC</t>
  </si>
  <si>
    <t>DEMORA NAVIERA</t>
  </si>
  <si>
    <t>PLANTA PRINCIPAL</t>
  </si>
  <si>
    <t>RFS</t>
  </si>
  <si>
    <t>POSORJA</t>
  </si>
  <si>
    <t>MAERSK</t>
  </si>
  <si>
    <t>DEMORA PUERTO</t>
  </si>
  <si>
    <t>BODEGA COSTA</t>
  </si>
  <si>
    <t>CONTECON VACIOS</t>
  </si>
  <si>
    <t>ENTREGADO</t>
  </si>
  <si>
    <t>DEMORA TRANSPORTE</t>
  </si>
  <si>
    <t>INCIDENCIA EN DESCARGA</t>
  </si>
  <si>
    <t>1. REGISTRO DE CONTENEDORES</t>
  </si>
  <si>
    <t>ID_Contenedor</t>
  </si>
  <si>
    <t>Pedido</t>
  </si>
  <si>
    <t>Parcial</t>
  </si>
  <si>
    <t>BL</t>
  </si>
  <si>
    <t>Naviera</t>
  </si>
  <si>
    <t>Tipo_Contenedor</t>
  </si>
  <si>
    <t>Producto</t>
  </si>
  <si>
    <t>Puerto</t>
  </si>
  <si>
    <t>Fecha_Arribo</t>
  </si>
  <si>
    <t>Fecha_CAS</t>
  </si>
  <si>
    <t>Deposito_Vacio</t>
  </si>
  <si>
    <t>MSCU4510021</t>
  </si>
  <si>
    <t>PED-260401</t>
  </si>
  <si>
    <t>P-01</t>
  </si>
  <si>
    <t>BLGYE0101</t>
  </si>
  <si>
    <t>Resina PET</t>
  </si>
  <si>
    <t>CMAU3381450</t>
  </si>
  <si>
    <t>PED-260402</t>
  </si>
  <si>
    <t>BLGYE0102</t>
  </si>
  <si>
    <t>Cartón corrugado</t>
  </si>
  <si>
    <t>MSCU4102298</t>
  </si>
  <si>
    <t>PED-260403</t>
  </si>
  <si>
    <t>P-02</t>
  </si>
  <si>
    <t>BLGYE0103</t>
  </si>
  <si>
    <t>Polietileno</t>
  </si>
  <si>
    <t>MAEU9928113</t>
  </si>
  <si>
    <t>PED-260404</t>
  </si>
  <si>
    <t>BLGYE0104</t>
  </si>
  <si>
    <t>Film stretch</t>
  </si>
  <si>
    <t>HLBU5543219</t>
  </si>
  <si>
    <t>PED-260405</t>
  </si>
  <si>
    <t>P-03</t>
  </si>
  <si>
    <t>BLGYE0105</t>
  </si>
  <si>
    <t>Masterbatch</t>
  </si>
  <si>
    <t>2. PLANIFICACIÓN GRUPASA</t>
  </si>
  <si>
    <t>Plan_Llegada_Grupasa</t>
  </si>
  <si>
    <t>Bodega</t>
  </si>
  <si>
    <t>Hora_Descarga</t>
  </si>
  <si>
    <t>Comentario_Plan</t>
  </si>
  <si>
    <t>08:00</t>
  </si>
  <si>
    <t>Descarga prioritaria</t>
  </si>
  <si>
    <t>10:30</t>
  </si>
  <si>
    <t>07:45</t>
  </si>
  <si>
    <t>Se requiere montacarga</t>
  </si>
  <si>
    <t>11:00</t>
  </si>
  <si>
    <t>09:15</t>
  </si>
  <si>
    <t>Cliente solicita ventana AM</t>
  </si>
  <si>
    <t>3. PLANIFICACIÓN GALAGANS</t>
  </si>
  <si>
    <t>Plan_Llegada_Patio</t>
  </si>
  <si>
    <t>Plan_Devolucion_Vacio</t>
  </si>
  <si>
    <t>Retiro coordinado con naviera</t>
  </si>
  <si>
    <t>Se anticipa devolución</t>
  </si>
  <si>
    <t>Patio prioriza este contenedor</t>
  </si>
  <si>
    <t>4. STATUS OPERATIVO</t>
  </si>
  <si>
    <t>Status_Actual</t>
  </si>
  <si>
    <t>Horario_Entrega_Real</t>
  </si>
  <si>
    <t>Comentario</t>
  </si>
  <si>
    <t>Liberación pendiente</t>
  </si>
  <si>
    <t>Contenedor ya en patio</t>
  </si>
  <si>
    <t>07:50</t>
  </si>
  <si>
    <t>Entrega con leve retraso</t>
  </si>
  <si>
    <t>Pendiente vaciado</t>
  </si>
  <si>
    <t>Vacío ya devuelto</t>
  </si>
  <si>
    <t>5. BASE HISTÓRICA (NO EDITABLE)</t>
  </si>
  <si>
    <t>Fecha_Snapshot</t>
  </si>
  <si>
    <t>Previo a retiro</t>
  </si>
  <si>
    <t>Ingreso a patio</t>
  </si>
  <si>
    <t>Entregado en planta</t>
  </si>
  <si>
    <t>6. CONTROL DE CALIDAD DEL ARCHIVO</t>
  </si>
  <si>
    <t>Estado general</t>
  </si>
  <si>
    <t>Contenedores con error</t>
  </si>
  <si>
    <t>Alertas CAS</t>
  </si>
  <si>
    <t>Errores_Registro</t>
  </si>
  <si>
    <t>Errores_Plan_Grupasa</t>
  </si>
  <si>
    <t>Errores_Plan_Galagans</t>
  </si>
  <si>
    <t>Errores_Status</t>
  </si>
  <si>
    <t>Alerta_CAS</t>
  </si>
  <si>
    <t>Estado_Fila</t>
  </si>
  <si>
    <t>Detalle_Final</t>
  </si>
  <si>
    <t>Tipo contenedor</t>
  </si>
  <si>
    <t>Solo editar celdas azules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</si>
</sst>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5" borderId="2" xfId="0" applyFont="1" applyFill="1" applyBorder="1"/>
    <xf numFmtId="0" fontId="1" fillId="4" borderId="1" xfId="0" applyFont="1" applyFill="1" applyBorder="1"/>
    <xf numFmtId="0" fontId="2" fillId="3" borderId="1" xfId="0" applyFont="1" applyFill="1" applyBorder="1" applyProtection="1">
      <protection locked="0"/>
    </xf>
    <xf numFmtId="14" fontId="2" fillId="3" borderId="1" xfId="0" applyNumberFormat="1" applyFont="1" applyFill="1" applyBorder="1" applyProtection="1">
      <protection locked="0"/>
    </xf>
    <xf numFmtId="0" fontId="2" fillId="5" borderId="1" xfId="0" applyFont="1" applyFill="1" applyBorder="1"/>
    <xf numFmtId="20" fontId="2" fillId="3" borderId="1" xfId="0" applyNumberFormat="1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5" borderId="0" xfId="0" applyFill="1"/>
    <xf numFmtId="14" fontId="0" fillId="3" borderId="0" xfId="0" applyNumberFormat="1" applyFill="1" applyProtection="1">
      <protection locked="0"/>
    </xf>
    <xf numFmtId="164" fontId="2" fillId="0" borderId="1" xfId="0" applyNumberFormat="1" applyFont="1" applyBorder="1"/>
    <xf numFmtId="20" fontId="2" fillId="0" borderId="1" xfId="0" applyNumberFormat="1" applyFont="1" applyBorder="1"/>
    <xf numFmtId="0" fontId="1" fillId="5" borderId="1" xfId="0" applyFont="1" applyFill="1" applyBorder="1"/>
    <xf numFmtId="0" fontId="3" fillId="2" borderId="1" xfId="0" applyFont="1" applyFill="1" applyBorder="1"/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workbookViewId="0">
      <selection sqref="A1:H1"/>
    </sheetView>
  </sheetViews>
  <sheetFormatPr baseColWidth="10" defaultColWidth="8.7265625" defaultRowHeight="14.5" x14ac:dyDescent="0.35"/>
  <cols>
    <col min="1" max="1" width="28" customWidth="1"/>
    <col min="2" max="2" width="95" customWidth="1"/>
  </cols>
  <sheetData>
    <row r="1" spans="1:8" ht="22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</row>
    <row r="2" spans="1:8" x14ac:dyDescent="0.35">
      <c r="A2" s="1"/>
      <c r="B2" s="1"/>
    </row>
    <row r="3" spans="1:8" x14ac:dyDescent="0.35">
      <c r="A3" s="2" t="s">
        <v>1</v>
      </c>
      <c r="B3" s="1" t="s">
        <v>2</v>
      </c>
    </row>
    <row r="4" spans="1:8" x14ac:dyDescent="0.35">
      <c r="A4" s="2" t="s">
        <v>3</v>
      </c>
      <c r="B4" s="1" t="s">
        <v>4</v>
      </c>
    </row>
    <row r="5" spans="1:8" x14ac:dyDescent="0.35">
      <c r="A5" s="2" t="s">
        <v>5</v>
      </c>
      <c r="B5" s="1" t="s">
        <v>6</v>
      </c>
    </row>
    <row r="6" spans="1:8" x14ac:dyDescent="0.35">
      <c r="A6" s="2" t="s">
        <v>7</v>
      </c>
      <c r="B6" s="1" t="s">
        <v>8</v>
      </c>
    </row>
    <row r="7" spans="1:8" x14ac:dyDescent="0.35">
      <c r="A7" s="2" t="s">
        <v>9</v>
      </c>
      <c r="B7" s="1" t="s">
        <v>10</v>
      </c>
    </row>
    <row r="8" spans="1:8" x14ac:dyDescent="0.35">
      <c r="A8" s="2" t="s">
        <v>11</v>
      </c>
      <c r="B8" s="1" t="s">
        <v>12</v>
      </c>
    </row>
    <row r="9" spans="1:8" x14ac:dyDescent="0.35">
      <c r="A9" s="2" t="s">
        <v>13</v>
      </c>
      <c r="B9" s="1" t="s">
        <v>14</v>
      </c>
    </row>
    <row r="10" spans="1:8" x14ac:dyDescent="0.35">
      <c r="A10" s="1"/>
      <c r="B10" s="1"/>
    </row>
  </sheetData>
  <sheetProtection password="C18C" sheet="1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workbookViewId="0">
      <selection activeCell="C6" sqref="C6"/>
    </sheetView>
  </sheetViews>
  <sheetFormatPr baseColWidth="10" defaultColWidth="8.7265625" defaultRowHeight="14.5" x14ac:dyDescent="0.35"/>
  <cols>
    <col min="1" max="2" width="14" customWidth="1"/>
    <col min="3" max="3" width="20" customWidth="1"/>
    <col min="4" max="4" width="22" customWidth="1"/>
    <col min="5" max="6" width="18" customWidth="1"/>
  </cols>
  <sheetData>
    <row r="1" spans="1:7" ht="22" customHeight="1" x14ac:dyDescent="0.35">
      <c r="A1" s="15" t="s">
        <v>15</v>
      </c>
      <c r="B1" s="16"/>
      <c r="C1" s="16"/>
      <c r="D1" s="16"/>
      <c r="E1" s="16"/>
      <c r="F1" s="16"/>
    </row>
    <row r="2" spans="1:7" x14ac:dyDescent="0.35">
      <c r="A2" s="1"/>
      <c r="B2" s="1"/>
      <c r="C2" s="1"/>
      <c r="D2" s="1"/>
      <c r="E2" s="1"/>
      <c r="F2" s="1"/>
    </row>
    <row r="3" spans="1:7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14" t="s">
        <v>127</v>
      </c>
    </row>
    <row r="4" spans="1:7" x14ac:dyDescent="0.3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>
        <v>20</v>
      </c>
    </row>
    <row r="5" spans="1:7" x14ac:dyDescent="0.3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>
        <v>40</v>
      </c>
    </row>
    <row r="6" spans="1:7" x14ac:dyDescent="0.35">
      <c r="A6" s="1" t="s">
        <v>34</v>
      </c>
      <c r="B6" s="1" t="s">
        <v>35</v>
      </c>
      <c r="C6" s="1" t="s">
        <v>44</v>
      </c>
      <c r="D6" s="1" t="s">
        <v>36</v>
      </c>
      <c r="E6" s="1" t="s">
        <v>37</v>
      </c>
      <c r="F6" s="1" t="s">
        <v>38</v>
      </c>
    </row>
    <row r="7" spans="1:7" x14ac:dyDescent="0.35">
      <c r="A7" s="1" t="s">
        <v>39</v>
      </c>
      <c r="B7" s="1" t="s">
        <v>40</v>
      </c>
      <c r="C7" s="1"/>
      <c r="D7" s="1" t="s">
        <v>41</v>
      </c>
      <c r="E7" s="1" t="s">
        <v>42</v>
      </c>
      <c r="F7" s="1" t="s">
        <v>43</v>
      </c>
    </row>
    <row r="8" spans="1:7" x14ac:dyDescent="0.35">
      <c r="A8" s="1"/>
      <c r="B8" s="1"/>
      <c r="D8" s="1" t="s">
        <v>45</v>
      </c>
      <c r="E8" s="1"/>
      <c r="F8" s="1"/>
    </row>
    <row r="9" spans="1:7" x14ac:dyDescent="0.35">
      <c r="A9" s="1"/>
      <c r="B9" s="1"/>
      <c r="C9" s="1"/>
      <c r="D9" s="1" t="s">
        <v>46</v>
      </c>
      <c r="E9" s="1"/>
      <c r="F9" s="1"/>
    </row>
    <row r="10" spans="1:7" x14ac:dyDescent="0.35">
      <c r="A10" s="1"/>
      <c r="B10" s="1"/>
      <c r="C10" s="1"/>
      <c r="D10" s="1"/>
      <c r="E10" s="1"/>
      <c r="F10" s="1"/>
    </row>
    <row r="11" spans="1:7" x14ac:dyDescent="0.35">
      <c r="A11" s="1"/>
      <c r="B11" s="1"/>
      <c r="C11" s="1"/>
      <c r="D11" s="1"/>
      <c r="E11" s="1"/>
      <c r="F11" s="1"/>
    </row>
    <row r="12" spans="1:7" x14ac:dyDescent="0.35">
      <c r="A12" s="1"/>
      <c r="B12" s="1"/>
      <c r="C12" s="1"/>
      <c r="D12" s="1"/>
      <c r="E12" s="1"/>
      <c r="F12" s="1"/>
    </row>
    <row r="13" spans="1:7" x14ac:dyDescent="0.35">
      <c r="A13" s="1"/>
      <c r="B13" s="1"/>
      <c r="C13" s="1"/>
      <c r="D13" s="1"/>
      <c r="E13" s="1"/>
      <c r="F13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3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8.7265625" defaultRowHeight="14.5" x14ac:dyDescent="0.35"/>
  <cols>
    <col min="1" max="1" width="18" customWidth="1"/>
    <col min="2" max="2" width="14" customWidth="1"/>
    <col min="3" max="3" width="10" customWidth="1"/>
    <col min="4" max="6" width="14" customWidth="1"/>
    <col min="7" max="7" width="20" customWidth="1"/>
    <col min="8" max="8" width="12" customWidth="1"/>
    <col min="9" max="10" width="13" customWidth="1"/>
    <col min="11" max="11" width="18" customWidth="1"/>
    <col min="12" max="12" width="32" customWidth="1"/>
  </cols>
  <sheetData>
    <row r="1" spans="1:12" ht="22" customHeight="1" x14ac:dyDescent="0.35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4" t="s">
        <v>128</v>
      </c>
    </row>
    <row r="4" spans="1:12" x14ac:dyDescent="0.35">
      <c r="A4" s="5" t="s">
        <v>59</v>
      </c>
      <c r="B4" s="5" t="s">
        <v>60</v>
      </c>
      <c r="C4" s="5" t="s">
        <v>61</v>
      </c>
      <c r="D4" s="5" t="s">
        <v>62</v>
      </c>
      <c r="E4" s="5" t="s">
        <v>35</v>
      </c>
      <c r="F4" s="5">
        <v>40</v>
      </c>
      <c r="G4" s="5" t="s">
        <v>63</v>
      </c>
      <c r="H4" s="5" t="s">
        <v>22</v>
      </c>
      <c r="I4" s="6">
        <v>46113</v>
      </c>
      <c r="J4" s="6">
        <v>46127</v>
      </c>
      <c r="K4" s="5" t="s">
        <v>33</v>
      </c>
      <c r="L4" s="1"/>
    </row>
    <row r="5" spans="1:12" x14ac:dyDescent="0.35">
      <c r="A5" s="5" t="s">
        <v>64</v>
      </c>
      <c r="B5" s="5" t="s">
        <v>65</v>
      </c>
      <c r="C5" s="5" t="s">
        <v>61</v>
      </c>
      <c r="D5" s="5" t="s">
        <v>66</v>
      </c>
      <c r="E5" s="5" t="s">
        <v>23</v>
      </c>
      <c r="F5" s="5">
        <v>40</v>
      </c>
      <c r="G5" s="5" t="s">
        <v>67</v>
      </c>
      <c r="H5" s="5" t="s">
        <v>28</v>
      </c>
      <c r="I5" s="6">
        <v>46114</v>
      </c>
      <c r="J5" s="6">
        <v>46126</v>
      </c>
      <c r="K5" s="5" t="s">
        <v>27</v>
      </c>
      <c r="L5" s="1"/>
    </row>
    <row r="6" spans="1:12" x14ac:dyDescent="0.35">
      <c r="A6" s="5" t="s">
        <v>68</v>
      </c>
      <c r="B6" s="5" t="s">
        <v>69</v>
      </c>
      <c r="C6" s="5" t="s">
        <v>70</v>
      </c>
      <c r="D6" s="5" t="s">
        <v>71</v>
      </c>
      <c r="E6" s="5" t="s">
        <v>35</v>
      </c>
      <c r="F6" s="5">
        <v>20</v>
      </c>
      <c r="G6" s="5" t="s">
        <v>72</v>
      </c>
      <c r="H6" s="5" t="s">
        <v>34</v>
      </c>
      <c r="I6" s="6">
        <v>46115</v>
      </c>
      <c r="J6" s="6">
        <v>46128</v>
      </c>
      <c r="K6" s="5" t="s">
        <v>38</v>
      </c>
      <c r="L6" s="1"/>
    </row>
    <row r="7" spans="1:12" x14ac:dyDescent="0.35">
      <c r="A7" s="5" t="s">
        <v>73</v>
      </c>
      <c r="B7" s="5" t="s">
        <v>74</v>
      </c>
      <c r="C7" s="5" t="s">
        <v>61</v>
      </c>
      <c r="D7" s="5" t="s">
        <v>75</v>
      </c>
      <c r="E7" s="5" t="s">
        <v>40</v>
      </c>
      <c r="F7" s="5">
        <v>40</v>
      </c>
      <c r="G7" s="5" t="s">
        <v>76</v>
      </c>
      <c r="H7" s="5" t="s">
        <v>39</v>
      </c>
      <c r="I7" s="6">
        <v>46116</v>
      </c>
      <c r="J7" s="6">
        <v>46130</v>
      </c>
      <c r="K7" s="5" t="s">
        <v>43</v>
      </c>
      <c r="L7" s="1"/>
    </row>
    <row r="8" spans="1:12" x14ac:dyDescent="0.35">
      <c r="A8" s="5" t="s">
        <v>77</v>
      </c>
      <c r="B8" s="5" t="s">
        <v>78</v>
      </c>
      <c r="C8" s="5" t="s">
        <v>79</v>
      </c>
      <c r="D8" s="5" t="s">
        <v>80</v>
      </c>
      <c r="E8" s="5" t="s">
        <v>29</v>
      </c>
      <c r="F8" s="5">
        <v>20</v>
      </c>
      <c r="G8" s="5" t="s">
        <v>81</v>
      </c>
      <c r="H8" s="5" t="s">
        <v>22</v>
      </c>
      <c r="I8" s="6">
        <v>46117</v>
      </c>
      <c r="J8" s="6">
        <v>46131</v>
      </c>
      <c r="K8" s="5" t="s">
        <v>33</v>
      </c>
      <c r="L8" s="1"/>
    </row>
    <row r="9" spans="1:12" x14ac:dyDescent="0.35">
      <c r="A9" s="5"/>
      <c r="B9" s="5"/>
      <c r="C9" s="5"/>
      <c r="D9" s="5"/>
      <c r="E9" s="5"/>
      <c r="F9" s="5"/>
      <c r="G9" s="5"/>
      <c r="H9" s="5"/>
      <c r="I9" s="6"/>
      <c r="J9" s="6"/>
      <c r="K9" s="5"/>
      <c r="L9" s="1"/>
    </row>
    <row r="10" spans="1:12" x14ac:dyDescent="0.35">
      <c r="A10" s="5"/>
      <c r="B10" s="5"/>
      <c r="C10" s="5"/>
      <c r="D10" s="5"/>
      <c r="E10" s="5"/>
      <c r="F10" s="5"/>
      <c r="G10" s="5"/>
      <c r="H10" s="5"/>
      <c r="I10" s="6"/>
      <c r="J10" s="6"/>
      <c r="K10" s="5"/>
      <c r="L10" s="1"/>
    </row>
    <row r="11" spans="1:12" x14ac:dyDescent="0.35">
      <c r="A11" s="5"/>
      <c r="B11" s="5"/>
      <c r="C11" s="5"/>
      <c r="D11" s="5"/>
      <c r="E11" s="5"/>
      <c r="F11" s="5"/>
      <c r="G11" s="5"/>
      <c r="H11" s="5"/>
      <c r="I11" s="6"/>
      <c r="J11" s="6"/>
      <c r="K11" s="5"/>
      <c r="L11" s="1"/>
    </row>
    <row r="12" spans="1:12" x14ac:dyDescent="0.35">
      <c r="A12" s="5"/>
      <c r="B12" s="5"/>
      <c r="C12" s="5"/>
      <c r="D12" s="5"/>
      <c r="E12" s="5"/>
      <c r="F12" s="5"/>
      <c r="G12" s="5"/>
      <c r="H12" s="5"/>
      <c r="I12" s="6"/>
      <c r="J12" s="6"/>
      <c r="K12" s="5"/>
      <c r="L12" s="1"/>
    </row>
    <row r="13" spans="1:12" x14ac:dyDescent="0.35">
      <c r="A13" s="5"/>
      <c r="B13" s="5"/>
      <c r="C13" s="5"/>
      <c r="D13" s="5"/>
      <c r="E13" s="5"/>
      <c r="F13" s="5"/>
      <c r="G13" s="5"/>
      <c r="H13" s="5"/>
      <c r="I13" s="6"/>
      <c r="J13" s="6"/>
      <c r="K13" s="5"/>
      <c r="L13" s="1"/>
    </row>
    <row r="14" spans="1:12" x14ac:dyDescent="0.35">
      <c r="A14" s="5"/>
      <c r="B14" s="5"/>
      <c r="C14" s="5"/>
      <c r="D14" s="5"/>
      <c r="E14" s="5"/>
      <c r="F14" s="5"/>
      <c r="G14" s="5"/>
      <c r="H14" s="5"/>
      <c r="I14" s="6"/>
      <c r="J14" s="6"/>
      <c r="K14" s="5"/>
      <c r="L14" s="1"/>
    </row>
    <row r="15" spans="1:12" x14ac:dyDescent="0.35">
      <c r="A15" s="5"/>
      <c r="B15" s="5"/>
      <c r="C15" s="5"/>
      <c r="D15" s="5"/>
      <c r="E15" s="5"/>
      <c r="F15" s="5"/>
      <c r="G15" s="5"/>
      <c r="H15" s="5"/>
      <c r="I15" s="6"/>
      <c r="J15" s="6"/>
      <c r="K15" s="5"/>
      <c r="L15" s="1"/>
    </row>
    <row r="16" spans="1:12" x14ac:dyDescent="0.35">
      <c r="A16" s="5"/>
      <c r="B16" s="5"/>
      <c r="C16" s="5"/>
      <c r="D16" s="5"/>
      <c r="E16" s="5"/>
      <c r="F16" s="5"/>
      <c r="G16" s="5"/>
      <c r="H16" s="5"/>
      <c r="I16" s="6"/>
      <c r="J16" s="6"/>
      <c r="K16" s="5"/>
      <c r="L16" s="1"/>
    </row>
    <row r="17" spans="1:12" x14ac:dyDescent="0.35">
      <c r="A17" s="5"/>
      <c r="B17" s="5"/>
      <c r="C17" s="5"/>
      <c r="D17" s="5"/>
      <c r="E17" s="5"/>
      <c r="F17" s="5"/>
      <c r="G17" s="5"/>
      <c r="H17" s="5"/>
      <c r="I17" s="6"/>
      <c r="J17" s="6"/>
      <c r="K17" s="5"/>
      <c r="L17" s="1"/>
    </row>
    <row r="18" spans="1:12" x14ac:dyDescent="0.35">
      <c r="A18" s="5"/>
      <c r="B18" s="5"/>
      <c r="C18" s="5"/>
      <c r="D18" s="5"/>
      <c r="E18" s="5"/>
      <c r="F18" s="5"/>
      <c r="G18" s="5"/>
      <c r="H18" s="5"/>
      <c r="I18" s="6"/>
      <c r="J18" s="6"/>
      <c r="K18" s="5"/>
      <c r="L18" s="1"/>
    </row>
    <row r="19" spans="1:12" x14ac:dyDescent="0.35">
      <c r="A19" s="5"/>
      <c r="B19" s="5"/>
      <c r="C19" s="5"/>
      <c r="D19" s="5"/>
      <c r="E19" s="5"/>
      <c r="F19" s="5"/>
      <c r="G19" s="5"/>
      <c r="H19" s="5"/>
      <c r="I19" s="6"/>
      <c r="J19" s="6"/>
      <c r="K19" s="5"/>
      <c r="L19" s="1"/>
    </row>
    <row r="20" spans="1:12" x14ac:dyDescent="0.35">
      <c r="A20" s="5"/>
      <c r="B20" s="5"/>
      <c r="C20" s="5"/>
      <c r="D20" s="5"/>
      <c r="E20" s="5"/>
      <c r="F20" s="5"/>
      <c r="G20" s="5"/>
      <c r="H20" s="5"/>
      <c r="I20" s="6"/>
      <c r="J20" s="6"/>
      <c r="K20" s="5"/>
      <c r="L20" s="1"/>
    </row>
    <row r="21" spans="1:12" x14ac:dyDescent="0.35">
      <c r="A21" s="5"/>
      <c r="B21" s="5"/>
      <c r="C21" s="5"/>
      <c r="D21" s="5"/>
      <c r="E21" s="5"/>
      <c r="F21" s="5"/>
      <c r="G21" s="5"/>
      <c r="H21" s="5"/>
      <c r="I21" s="6"/>
      <c r="J21" s="6"/>
      <c r="K21" s="5"/>
      <c r="L21" s="1"/>
    </row>
    <row r="22" spans="1:12" x14ac:dyDescent="0.35">
      <c r="A22" s="5"/>
      <c r="B22" s="5"/>
      <c r="C22" s="5"/>
      <c r="D22" s="5"/>
      <c r="E22" s="5"/>
      <c r="F22" s="5"/>
      <c r="G22" s="5"/>
      <c r="H22" s="5"/>
      <c r="I22" s="6"/>
      <c r="J22" s="6"/>
      <c r="K22" s="5"/>
      <c r="L22" s="1"/>
    </row>
    <row r="23" spans="1:12" x14ac:dyDescent="0.35">
      <c r="A23" s="5"/>
      <c r="B23" s="5"/>
      <c r="C23" s="5"/>
      <c r="D23" s="5"/>
      <c r="E23" s="5"/>
      <c r="F23" s="5"/>
      <c r="G23" s="5"/>
      <c r="H23" s="5"/>
      <c r="I23" s="6"/>
      <c r="J23" s="6"/>
      <c r="K23" s="5"/>
      <c r="L23" s="1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6"/>
      <c r="J24" s="6"/>
      <c r="K24" s="5"/>
      <c r="L24" s="1"/>
    </row>
    <row r="25" spans="1:12" x14ac:dyDescent="0.35">
      <c r="A25" s="5"/>
      <c r="B25" s="5"/>
      <c r="C25" s="5"/>
      <c r="D25" s="5"/>
      <c r="E25" s="5"/>
      <c r="F25" s="5"/>
      <c r="G25" s="5"/>
      <c r="H25" s="5"/>
      <c r="I25" s="6"/>
      <c r="J25" s="6"/>
      <c r="K25" s="5"/>
      <c r="L25" s="1"/>
    </row>
    <row r="26" spans="1:12" x14ac:dyDescent="0.35">
      <c r="A26" s="5"/>
      <c r="B26" s="5"/>
      <c r="C26" s="5"/>
      <c r="D26" s="5"/>
      <c r="E26" s="5"/>
      <c r="F26" s="5"/>
      <c r="G26" s="5"/>
      <c r="H26" s="5"/>
      <c r="I26" s="6"/>
      <c r="J26" s="6"/>
      <c r="K26" s="5"/>
      <c r="L26" s="1"/>
    </row>
    <row r="27" spans="1:12" x14ac:dyDescent="0.35">
      <c r="A27" s="5"/>
      <c r="B27" s="5"/>
      <c r="C27" s="5"/>
      <c r="D27" s="5"/>
      <c r="E27" s="5"/>
      <c r="F27" s="5"/>
      <c r="G27" s="5"/>
      <c r="H27" s="5"/>
      <c r="I27" s="6"/>
      <c r="J27" s="6"/>
      <c r="K27" s="5"/>
      <c r="L27" s="1"/>
    </row>
    <row r="28" spans="1:12" x14ac:dyDescent="0.35">
      <c r="A28" s="5"/>
      <c r="B28" s="5"/>
      <c r="C28" s="5"/>
      <c r="D28" s="5"/>
      <c r="E28" s="5"/>
      <c r="F28" s="5"/>
      <c r="G28" s="5"/>
      <c r="H28" s="5"/>
      <c r="I28" s="6"/>
      <c r="J28" s="6"/>
      <c r="K28" s="5"/>
      <c r="L28" s="1"/>
    </row>
    <row r="29" spans="1:12" x14ac:dyDescent="0.35">
      <c r="A29" s="5"/>
      <c r="B29" s="5"/>
      <c r="C29" s="5"/>
      <c r="D29" s="5"/>
      <c r="E29" s="5"/>
      <c r="F29" s="5"/>
      <c r="G29" s="5"/>
      <c r="H29" s="5"/>
      <c r="I29" s="6"/>
      <c r="J29" s="6"/>
      <c r="K29" s="5"/>
      <c r="L29" s="1"/>
    </row>
    <row r="30" spans="1:12" x14ac:dyDescent="0.35">
      <c r="A30" s="5"/>
      <c r="B30" s="5"/>
      <c r="C30" s="5"/>
      <c r="D30" s="5"/>
      <c r="E30" s="5"/>
      <c r="F30" s="5"/>
      <c r="G30" s="5"/>
      <c r="H30" s="5"/>
      <c r="I30" s="6"/>
      <c r="J30" s="6"/>
      <c r="K30" s="5"/>
      <c r="L30" s="1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6"/>
      <c r="J31" s="6"/>
      <c r="K31" s="5"/>
      <c r="L31" s="1"/>
    </row>
    <row r="32" spans="1:12" x14ac:dyDescent="0.35">
      <c r="A32" s="5"/>
      <c r="B32" s="5"/>
      <c r="C32" s="5"/>
      <c r="D32" s="5"/>
      <c r="E32" s="5"/>
      <c r="F32" s="5"/>
      <c r="G32" s="5"/>
      <c r="H32" s="5"/>
      <c r="I32" s="6"/>
      <c r="J32" s="6"/>
      <c r="K32" s="5"/>
      <c r="L32" s="1"/>
    </row>
    <row r="33" spans="1:12" x14ac:dyDescent="0.35">
      <c r="A33" s="5"/>
      <c r="B33" s="5"/>
      <c r="C33" s="5"/>
      <c r="D33" s="5"/>
      <c r="E33" s="5"/>
      <c r="F33" s="5"/>
      <c r="G33" s="5"/>
      <c r="H33" s="5"/>
      <c r="I33" s="6"/>
      <c r="J33" s="6"/>
      <c r="K33" s="5"/>
      <c r="L33" s="1"/>
    </row>
    <row r="34" spans="1:12" x14ac:dyDescent="0.35">
      <c r="A34" s="5"/>
      <c r="B34" s="5"/>
      <c r="C34" s="5"/>
      <c r="D34" s="5"/>
      <c r="E34" s="5"/>
      <c r="F34" s="5"/>
      <c r="G34" s="5"/>
      <c r="H34" s="5"/>
      <c r="I34" s="6"/>
      <c r="J34" s="6"/>
      <c r="K34" s="5"/>
      <c r="L34" s="1"/>
    </row>
    <row r="35" spans="1:12" x14ac:dyDescent="0.35">
      <c r="A35" s="5"/>
      <c r="B35" s="5"/>
      <c r="C35" s="5"/>
      <c r="D35" s="5"/>
      <c r="E35" s="5"/>
      <c r="F35" s="5"/>
      <c r="G35" s="5"/>
      <c r="H35" s="5"/>
      <c r="I35" s="6"/>
      <c r="J35" s="6"/>
      <c r="K35" s="5"/>
      <c r="L35" s="1"/>
    </row>
    <row r="36" spans="1:12" x14ac:dyDescent="0.35">
      <c r="A36" s="5"/>
      <c r="B36" s="5"/>
      <c r="C36" s="5"/>
      <c r="D36" s="5"/>
      <c r="E36" s="5"/>
      <c r="F36" s="5"/>
      <c r="G36" s="5"/>
      <c r="H36" s="5"/>
      <c r="I36" s="6"/>
      <c r="J36" s="6"/>
      <c r="K36" s="5"/>
      <c r="L36" s="1"/>
    </row>
    <row r="37" spans="1:12" x14ac:dyDescent="0.35">
      <c r="A37" s="5"/>
      <c r="B37" s="5"/>
      <c r="C37" s="5"/>
      <c r="D37" s="5"/>
      <c r="E37" s="5"/>
      <c r="F37" s="5"/>
      <c r="G37" s="5"/>
      <c r="H37" s="5"/>
      <c r="I37" s="6"/>
      <c r="J37" s="6"/>
      <c r="K37" s="5"/>
      <c r="L37" s="1"/>
    </row>
    <row r="38" spans="1:12" x14ac:dyDescent="0.35">
      <c r="A38" s="5"/>
      <c r="B38" s="5"/>
      <c r="C38" s="5"/>
      <c r="D38" s="5"/>
      <c r="E38" s="5"/>
      <c r="F38" s="5"/>
      <c r="G38" s="5"/>
      <c r="H38" s="5"/>
      <c r="I38" s="6"/>
      <c r="J38" s="6"/>
      <c r="K38" s="5"/>
      <c r="L38" s="1"/>
    </row>
    <row r="39" spans="1:12" x14ac:dyDescent="0.35">
      <c r="A39" s="5"/>
      <c r="B39" s="5"/>
      <c r="C39" s="5"/>
      <c r="D39" s="5"/>
      <c r="E39" s="5"/>
      <c r="F39" s="5"/>
      <c r="G39" s="5"/>
      <c r="H39" s="5"/>
      <c r="I39" s="6"/>
      <c r="J39" s="6"/>
      <c r="K39" s="5"/>
      <c r="L39" s="1"/>
    </row>
    <row r="40" spans="1:12" x14ac:dyDescent="0.35">
      <c r="A40" s="5"/>
      <c r="B40" s="5"/>
      <c r="C40" s="5"/>
      <c r="D40" s="5"/>
      <c r="E40" s="5"/>
      <c r="F40" s="5"/>
      <c r="G40" s="5"/>
      <c r="H40" s="5"/>
      <c r="I40" s="6"/>
      <c r="J40" s="6"/>
      <c r="K40" s="5"/>
      <c r="L40" s="1"/>
    </row>
    <row r="41" spans="1:12" x14ac:dyDescent="0.35">
      <c r="A41" s="5"/>
      <c r="B41" s="5"/>
      <c r="C41" s="5"/>
      <c r="D41" s="5"/>
      <c r="E41" s="5"/>
      <c r="F41" s="5"/>
      <c r="G41" s="5"/>
      <c r="H41" s="5"/>
      <c r="I41" s="6"/>
      <c r="J41" s="6"/>
      <c r="K41" s="5"/>
      <c r="L41" s="1"/>
    </row>
    <row r="42" spans="1:12" x14ac:dyDescent="0.35">
      <c r="A42" s="5"/>
      <c r="B42" s="5"/>
      <c r="C42" s="5"/>
      <c r="D42" s="5"/>
      <c r="E42" s="5"/>
      <c r="F42" s="5"/>
      <c r="G42" s="5"/>
      <c r="H42" s="5"/>
      <c r="I42" s="6"/>
      <c r="J42" s="6"/>
      <c r="K42" s="5"/>
      <c r="L42" s="1"/>
    </row>
    <row r="43" spans="1:12" x14ac:dyDescent="0.35">
      <c r="A43" s="5"/>
      <c r="B43" s="5"/>
      <c r="C43" s="5"/>
      <c r="D43" s="5"/>
      <c r="E43" s="5"/>
      <c r="F43" s="5"/>
      <c r="G43" s="5"/>
      <c r="H43" s="5"/>
      <c r="I43" s="6"/>
      <c r="J43" s="6"/>
      <c r="K43" s="5"/>
      <c r="L43" s="1"/>
    </row>
    <row r="44" spans="1:12" x14ac:dyDescent="0.35">
      <c r="A44" s="5"/>
      <c r="B44" s="5"/>
      <c r="C44" s="5"/>
      <c r="D44" s="5"/>
      <c r="E44" s="5"/>
      <c r="F44" s="5"/>
      <c r="G44" s="5"/>
      <c r="H44" s="5"/>
      <c r="I44" s="6"/>
      <c r="J44" s="6"/>
      <c r="K44" s="5"/>
      <c r="L44" s="1"/>
    </row>
    <row r="45" spans="1:12" x14ac:dyDescent="0.35">
      <c r="A45" s="5"/>
      <c r="B45" s="5"/>
      <c r="C45" s="5"/>
      <c r="D45" s="5"/>
      <c r="E45" s="5"/>
      <c r="F45" s="5"/>
      <c r="G45" s="5"/>
      <c r="H45" s="5"/>
      <c r="I45" s="6"/>
      <c r="J45" s="6"/>
      <c r="K45" s="5"/>
      <c r="L45" s="1"/>
    </row>
    <row r="46" spans="1:12" x14ac:dyDescent="0.35">
      <c r="A46" s="5"/>
      <c r="B46" s="5"/>
      <c r="C46" s="5"/>
      <c r="D46" s="5"/>
      <c r="E46" s="5"/>
      <c r="F46" s="5"/>
      <c r="G46" s="5"/>
      <c r="H46" s="5"/>
      <c r="I46" s="6"/>
      <c r="J46" s="6"/>
      <c r="K46" s="5"/>
      <c r="L46" s="1"/>
    </row>
    <row r="47" spans="1:12" x14ac:dyDescent="0.35">
      <c r="A47" s="5"/>
      <c r="B47" s="5"/>
      <c r="C47" s="5"/>
      <c r="D47" s="5"/>
      <c r="E47" s="5"/>
      <c r="F47" s="5"/>
      <c r="G47" s="5"/>
      <c r="H47" s="5"/>
      <c r="I47" s="6"/>
      <c r="J47" s="6"/>
      <c r="K47" s="5"/>
      <c r="L47" s="1"/>
    </row>
    <row r="48" spans="1:12" x14ac:dyDescent="0.35">
      <c r="A48" s="5"/>
      <c r="B48" s="5"/>
      <c r="C48" s="5"/>
      <c r="D48" s="5"/>
      <c r="E48" s="5"/>
      <c r="F48" s="5"/>
      <c r="G48" s="5"/>
      <c r="H48" s="5"/>
      <c r="I48" s="6"/>
      <c r="J48" s="6"/>
      <c r="K48" s="5"/>
      <c r="L48" s="1"/>
    </row>
    <row r="49" spans="1:12" x14ac:dyDescent="0.35">
      <c r="A49" s="5"/>
      <c r="B49" s="5"/>
      <c r="C49" s="5"/>
      <c r="D49" s="5"/>
      <c r="E49" s="5"/>
      <c r="F49" s="5"/>
      <c r="G49" s="5"/>
      <c r="H49" s="5"/>
      <c r="I49" s="6"/>
      <c r="J49" s="6"/>
      <c r="K49" s="5"/>
      <c r="L49" s="1"/>
    </row>
    <row r="50" spans="1:12" x14ac:dyDescent="0.35">
      <c r="A50" s="5"/>
      <c r="B50" s="5"/>
      <c r="C50" s="5"/>
      <c r="D50" s="5"/>
      <c r="E50" s="5"/>
      <c r="F50" s="5"/>
      <c r="G50" s="5"/>
      <c r="H50" s="5"/>
      <c r="I50" s="6"/>
      <c r="J50" s="6"/>
      <c r="K50" s="5"/>
      <c r="L50" s="1"/>
    </row>
    <row r="51" spans="1:12" x14ac:dyDescent="0.35">
      <c r="A51" s="5"/>
      <c r="B51" s="5"/>
      <c r="C51" s="5"/>
      <c r="D51" s="5"/>
      <c r="E51" s="5"/>
      <c r="F51" s="5"/>
      <c r="G51" s="5"/>
      <c r="H51" s="5"/>
      <c r="I51" s="6"/>
      <c r="J51" s="6"/>
      <c r="K51" s="5"/>
      <c r="L51" s="1"/>
    </row>
    <row r="52" spans="1:12" x14ac:dyDescent="0.35">
      <c r="A52" s="5"/>
      <c r="B52" s="5"/>
      <c r="C52" s="5"/>
      <c r="D52" s="5"/>
      <c r="E52" s="5"/>
      <c r="F52" s="5"/>
      <c r="G52" s="5"/>
      <c r="H52" s="5"/>
      <c r="I52" s="6"/>
      <c r="J52" s="6"/>
      <c r="K52" s="5"/>
      <c r="L52" s="1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6"/>
      <c r="J53" s="6"/>
      <c r="K53" s="5"/>
      <c r="L53" s="1"/>
    </row>
    <row r="54" spans="1:12" x14ac:dyDescent="0.35">
      <c r="A54" s="5"/>
      <c r="B54" s="5"/>
      <c r="C54" s="5"/>
      <c r="D54" s="5"/>
      <c r="E54" s="5"/>
      <c r="F54" s="5"/>
      <c r="G54" s="5"/>
      <c r="H54" s="5"/>
      <c r="I54" s="6"/>
      <c r="J54" s="6"/>
      <c r="K54" s="5"/>
      <c r="L54" s="1"/>
    </row>
    <row r="55" spans="1:12" x14ac:dyDescent="0.35">
      <c r="A55" s="5"/>
      <c r="B55" s="5"/>
      <c r="C55" s="5"/>
      <c r="D55" s="5"/>
      <c r="E55" s="5"/>
      <c r="F55" s="5"/>
      <c r="G55" s="5"/>
      <c r="H55" s="5"/>
      <c r="I55" s="6"/>
      <c r="J55" s="6"/>
      <c r="K55" s="5"/>
      <c r="L55" s="1"/>
    </row>
    <row r="56" spans="1:12" x14ac:dyDescent="0.35">
      <c r="A56" s="5"/>
      <c r="B56" s="5"/>
      <c r="C56" s="5"/>
      <c r="D56" s="5"/>
      <c r="E56" s="5"/>
      <c r="F56" s="5"/>
      <c r="G56" s="5"/>
      <c r="H56" s="5"/>
      <c r="I56" s="6"/>
      <c r="J56" s="6"/>
      <c r="K56" s="5"/>
      <c r="L56" s="1"/>
    </row>
    <row r="57" spans="1:12" x14ac:dyDescent="0.35">
      <c r="A57" s="5"/>
      <c r="B57" s="5"/>
      <c r="C57" s="5"/>
      <c r="D57" s="5"/>
      <c r="E57" s="5"/>
      <c r="F57" s="5"/>
      <c r="G57" s="5"/>
      <c r="H57" s="5"/>
      <c r="I57" s="6"/>
      <c r="J57" s="6"/>
      <c r="K57" s="5"/>
      <c r="L57" s="1"/>
    </row>
    <row r="58" spans="1:12" x14ac:dyDescent="0.35">
      <c r="A58" s="5"/>
      <c r="B58" s="5"/>
      <c r="C58" s="5"/>
      <c r="D58" s="5"/>
      <c r="E58" s="5"/>
      <c r="F58" s="5"/>
      <c r="G58" s="5"/>
      <c r="H58" s="5"/>
      <c r="I58" s="6"/>
      <c r="J58" s="6"/>
      <c r="K58" s="5"/>
      <c r="L58" s="1"/>
    </row>
    <row r="59" spans="1:12" x14ac:dyDescent="0.35">
      <c r="A59" s="5"/>
      <c r="B59" s="5"/>
      <c r="C59" s="5"/>
      <c r="D59" s="5"/>
      <c r="E59" s="5"/>
      <c r="F59" s="5"/>
      <c r="G59" s="5"/>
      <c r="H59" s="5"/>
      <c r="I59" s="6"/>
      <c r="J59" s="6"/>
      <c r="K59" s="5"/>
      <c r="L59" s="1"/>
    </row>
    <row r="60" spans="1:12" x14ac:dyDescent="0.35">
      <c r="A60" s="5"/>
      <c r="B60" s="5"/>
      <c r="C60" s="5"/>
      <c r="D60" s="5"/>
      <c r="E60" s="5"/>
      <c r="F60" s="5"/>
      <c r="G60" s="5"/>
      <c r="H60" s="5"/>
      <c r="I60" s="6"/>
      <c r="J60" s="6"/>
      <c r="K60" s="5"/>
      <c r="L60" s="1"/>
    </row>
    <row r="61" spans="1:12" x14ac:dyDescent="0.35">
      <c r="A61" s="5"/>
      <c r="B61" s="5"/>
      <c r="C61" s="5"/>
      <c r="D61" s="5"/>
      <c r="E61" s="5"/>
      <c r="F61" s="5"/>
      <c r="G61" s="5"/>
      <c r="H61" s="5"/>
      <c r="I61" s="6"/>
      <c r="J61" s="6"/>
      <c r="K61" s="5"/>
      <c r="L61" s="1"/>
    </row>
    <row r="62" spans="1:12" x14ac:dyDescent="0.35">
      <c r="A62" s="5"/>
      <c r="B62" s="5"/>
      <c r="C62" s="5"/>
      <c r="D62" s="5"/>
      <c r="E62" s="5"/>
      <c r="F62" s="5"/>
      <c r="G62" s="5"/>
      <c r="H62" s="5"/>
      <c r="I62" s="6"/>
      <c r="J62" s="6"/>
      <c r="K62" s="5"/>
      <c r="L62" s="1"/>
    </row>
    <row r="63" spans="1:12" x14ac:dyDescent="0.35">
      <c r="A63" s="5"/>
      <c r="B63" s="5"/>
      <c r="C63" s="5"/>
      <c r="D63" s="5"/>
      <c r="E63" s="5"/>
      <c r="F63" s="5"/>
      <c r="G63" s="5"/>
      <c r="H63" s="5"/>
      <c r="I63" s="6"/>
      <c r="J63" s="6"/>
      <c r="K63" s="5"/>
      <c r="L63" s="1"/>
    </row>
    <row r="64" spans="1:12" x14ac:dyDescent="0.35">
      <c r="A64" s="5"/>
      <c r="B64" s="5"/>
      <c r="C64" s="5"/>
      <c r="D64" s="5"/>
      <c r="E64" s="5"/>
      <c r="F64" s="5"/>
      <c r="G64" s="5"/>
      <c r="H64" s="5"/>
      <c r="I64" s="6"/>
      <c r="J64" s="6"/>
      <c r="K64" s="5"/>
      <c r="L64" s="1"/>
    </row>
    <row r="65" spans="1:12" x14ac:dyDescent="0.35">
      <c r="A65" s="5"/>
      <c r="B65" s="5"/>
      <c r="C65" s="5"/>
      <c r="D65" s="5"/>
      <c r="E65" s="5"/>
      <c r="F65" s="5"/>
      <c r="G65" s="5"/>
      <c r="H65" s="5"/>
      <c r="I65" s="6"/>
      <c r="J65" s="6"/>
      <c r="K65" s="5"/>
      <c r="L65" s="1"/>
    </row>
    <row r="66" spans="1:12" x14ac:dyDescent="0.35">
      <c r="A66" s="5"/>
      <c r="B66" s="5"/>
      <c r="C66" s="5"/>
      <c r="D66" s="5"/>
      <c r="E66" s="5"/>
      <c r="F66" s="5"/>
      <c r="G66" s="5"/>
      <c r="H66" s="5"/>
      <c r="I66" s="6"/>
      <c r="J66" s="6"/>
      <c r="K66" s="5"/>
      <c r="L66" s="1"/>
    </row>
    <row r="67" spans="1:12" x14ac:dyDescent="0.35">
      <c r="A67" s="5"/>
      <c r="B67" s="5"/>
      <c r="C67" s="5"/>
      <c r="D67" s="5"/>
      <c r="E67" s="5"/>
      <c r="F67" s="5"/>
      <c r="G67" s="5"/>
      <c r="H67" s="5"/>
      <c r="I67" s="6"/>
      <c r="J67" s="6"/>
      <c r="K67" s="5"/>
      <c r="L67" s="1"/>
    </row>
    <row r="68" spans="1:12" x14ac:dyDescent="0.35">
      <c r="A68" s="5"/>
      <c r="B68" s="5"/>
      <c r="C68" s="5"/>
      <c r="D68" s="5"/>
      <c r="E68" s="5"/>
      <c r="F68" s="5"/>
      <c r="G68" s="5"/>
      <c r="H68" s="5"/>
      <c r="I68" s="6"/>
      <c r="J68" s="6"/>
      <c r="K68" s="5"/>
      <c r="L68" s="1"/>
    </row>
    <row r="69" spans="1:12" x14ac:dyDescent="0.35">
      <c r="A69" s="5"/>
      <c r="B69" s="5"/>
      <c r="C69" s="5"/>
      <c r="D69" s="5"/>
      <c r="E69" s="5"/>
      <c r="F69" s="5"/>
      <c r="G69" s="5"/>
      <c r="H69" s="5"/>
      <c r="I69" s="6"/>
      <c r="J69" s="6"/>
      <c r="K69" s="5"/>
      <c r="L69" s="1"/>
    </row>
    <row r="70" spans="1:12" x14ac:dyDescent="0.35">
      <c r="A70" s="5"/>
      <c r="B70" s="5"/>
      <c r="C70" s="5"/>
      <c r="D70" s="5"/>
      <c r="E70" s="5"/>
      <c r="F70" s="5"/>
      <c r="G70" s="5"/>
      <c r="H70" s="5"/>
      <c r="I70" s="6"/>
      <c r="J70" s="6"/>
      <c r="K70" s="5"/>
      <c r="L70" s="1"/>
    </row>
    <row r="71" spans="1:12" x14ac:dyDescent="0.35">
      <c r="A71" s="5"/>
      <c r="B71" s="5"/>
      <c r="C71" s="5"/>
      <c r="D71" s="5"/>
      <c r="E71" s="5"/>
      <c r="F71" s="5"/>
      <c r="G71" s="5"/>
      <c r="H71" s="5"/>
      <c r="I71" s="6"/>
      <c r="J71" s="6"/>
      <c r="K71" s="5"/>
      <c r="L71" s="1"/>
    </row>
    <row r="72" spans="1:12" x14ac:dyDescent="0.35">
      <c r="A72" s="5"/>
      <c r="B72" s="5"/>
      <c r="C72" s="5"/>
      <c r="D72" s="5"/>
      <c r="E72" s="5"/>
      <c r="F72" s="5"/>
      <c r="G72" s="5"/>
      <c r="H72" s="5"/>
      <c r="I72" s="6"/>
      <c r="J72" s="6"/>
      <c r="K72" s="5"/>
      <c r="L72" s="1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6"/>
      <c r="J73" s="6"/>
      <c r="K73" s="5"/>
      <c r="L73" s="1"/>
    </row>
    <row r="74" spans="1:12" x14ac:dyDescent="0.35">
      <c r="A74" s="5"/>
      <c r="B74" s="5"/>
      <c r="C74" s="5"/>
      <c r="D74" s="5"/>
      <c r="E74" s="5"/>
      <c r="F74" s="5"/>
      <c r="G74" s="5"/>
      <c r="H74" s="5"/>
      <c r="I74" s="6"/>
      <c r="J74" s="6"/>
      <c r="K74" s="5"/>
      <c r="L74" s="1"/>
    </row>
    <row r="75" spans="1:12" x14ac:dyDescent="0.35">
      <c r="A75" s="5"/>
      <c r="B75" s="5"/>
      <c r="C75" s="5"/>
      <c r="D75" s="5"/>
      <c r="E75" s="5"/>
      <c r="F75" s="5"/>
      <c r="G75" s="5"/>
      <c r="H75" s="5"/>
      <c r="I75" s="6"/>
      <c r="J75" s="6"/>
      <c r="K75" s="5"/>
      <c r="L75" s="1"/>
    </row>
    <row r="76" spans="1:12" x14ac:dyDescent="0.35">
      <c r="A76" s="5"/>
      <c r="B76" s="5"/>
      <c r="C76" s="5"/>
      <c r="D76" s="5"/>
      <c r="E76" s="5"/>
      <c r="F76" s="5"/>
      <c r="G76" s="5"/>
      <c r="H76" s="5"/>
      <c r="I76" s="6"/>
      <c r="J76" s="6"/>
      <c r="K76" s="5"/>
      <c r="L76" s="1"/>
    </row>
    <row r="77" spans="1:12" x14ac:dyDescent="0.35">
      <c r="A77" s="5"/>
      <c r="B77" s="5"/>
      <c r="C77" s="5"/>
      <c r="D77" s="5"/>
      <c r="E77" s="5"/>
      <c r="F77" s="5"/>
      <c r="G77" s="5"/>
      <c r="H77" s="5"/>
      <c r="I77" s="6"/>
      <c r="J77" s="6"/>
      <c r="K77" s="5"/>
      <c r="L77" s="1"/>
    </row>
    <row r="78" spans="1:12" x14ac:dyDescent="0.35">
      <c r="A78" s="5"/>
      <c r="B78" s="5"/>
      <c r="C78" s="5"/>
      <c r="D78" s="5"/>
      <c r="E78" s="5"/>
      <c r="F78" s="5"/>
      <c r="G78" s="5"/>
      <c r="H78" s="5"/>
      <c r="I78" s="6"/>
      <c r="J78" s="6"/>
      <c r="K78" s="5"/>
      <c r="L78" s="1"/>
    </row>
    <row r="79" spans="1:12" x14ac:dyDescent="0.35">
      <c r="A79" s="5"/>
      <c r="B79" s="5"/>
      <c r="C79" s="5"/>
      <c r="D79" s="5"/>
      <c r="E79" s="5"/>
      <c r="F79" s="5"/>
      <c r="G79" s="5"/>
      <c r="H79" s="5"/>
      <c r="I79" s="6"/>
      <c r="J79" s="6"/>
      <c r="K79" s="5"/>
      <c r="L79" s="1"/>
    </row>
    <row r="80" spans="1:12" x14ac:dyDescent="0.35">
      <c r="A80" s="5"/>
      <c r="B80" s="5"/>
      <c r="C80" s="5"/>
      <c r="D80" s="5"/>
      <c r="E80" s="5"/>
      <c r="F80" s="5"/>
      <c r="G80" s="5"/>
      <c r="H80" s="5"/>
      <c r="I80" s="6"/>
      <c r="J80" s="6"/>
      <c r="K80" s="5"/>
      <c r="L80" s="1"/>
    </row>
    <row r="81" spans="1:12" x14ac:dyDescent="0.35">
      <c r="A81" s="5"/>
      <c r="B81" s="5"/>
      <c r="C81" s="5"/>
      <c r="D81" s="5"/>
      <c r="E81" s="5"/>
      <c r="F81" s="5"/>
      <c r="G81" s="5"/>
      <c r="H81" s="5"/>
      <c r="I81" s="6"/>
      <c r="J81" s="6"/>
      <c r="K81" s="5"/>
      <c r="L81" s="1"/>
    </row>
    <row r="82" spans="1:12" x14ac:dyDescent="0.35">
      <c r="A82" s="5"/>
      <c r="B82" s="5"/>
      <c r="C82" s="5"/>
      <c r="D82" s="5"/>
      <c r="E82" s="5"/>
      <c r="F82" s="5"/>
      <c r="G82" s="5"/>
      <c r="H82" s="5"/>
      <c r="I82" s="6"/>
      <c r="J82" s="6"/>
      <c r="K82" s="5"/>
      <c r="L82" s="1"/>
    </row>
    <row r="83" spans="1:12" x14ac:dyDescent="0.35">
      <c r="A83" s="5"/>
      <c r="B83" s="5"/>
      <c r="C83" s="5"/>
      <c r="D83" s="5"/>
      <c r="E83" s="5"/>
      <c r="F83" s="5"/>
      <c r="G83" s="5"/>
      <c r="H83" s="5"/>
      <c r="I83" s="6"/>
      <c r="J83" s="6"/>
      <c r="K83" s="5"/>
      <c r="L83" s="1"/>
    </row>
    <row r="84" spans="1:12" x14ac:dyDescent="0.35">
      <c r="A84" s="5"/>
      <c r="B84" s="5"/>
      <c r="C84" s="5"/>
      <c r="D84" s="5"/>
      <c r="E84" s="5"/>
      <c r="F84" s="5"/>
      <c r="G84" s="5"/>
      <c r="H84" s="5"/>
      <c r="I84" s="6"/>
      <c r="J84" s="6"/>
      <c r="K84" s="5"/>
      <c r="L84" s="1"/>
    </row>
    <row r="85" spans="1:12" x14ac:dyDescent="0.35">
      <c r="A85" s="5"/>
      <c r="B85" s="5"/>
      <c r="C85" s="5"/>
      <c r="D85" s="5"/>
      <c r="E85" s="5"/>
      <c r="F85" s="5"/>
      <c r="G85" s="5"/>
      <c r="H85" s="5"/>
      <c r="I85" s="6"/>
      <c r="J85" s="6"/>
      <c r="K85" s="5"/>
      <c r="L85" s="1"/>
    </row>
    <row r="86" spans="1:12" x14ac:dyDescent="0.35">
      <c r="A86" s="5"/>
      <c r="B86" s="5"/>
      <c r="C86" s="5"/>
      <c r="D86" s="5"/>
      <c r="E86" s="5"/>
      <c r="F86" s="5"/>
      <c r="G86" s="5"/>
      <c r="H86" s="5"/>
      <c r="I86" s="6"/>
      <c r="J86" s="6"/>
      <c r="K86" s="5"/>
      <c r="L86" s="1"/>
    </row>
    <row r="87" spans="1:12" x14ac:dyDescent="0.35">
      <c r="A87" s="5"/>
      <c r="B87" s="5"/>
      <c r="C87" s="5"/>
      <c r="D87" s="5"/>
      <c r="E87" s="5"/>
      <c r="F87" s="5"/>
      <c r="G87" s="5"/>
      <c r="H87" s="5"/>
      <c r="I87" s="6"/>
      <c r="J87" s="6"/>
      <c r="K87" s="5"/>
      <c r="L87" s="1"/>
    </row>
    <row r="88" spans="1:12" x14ac:dyDescent="0.35">
      <c r="A88" s="5"/>
      <c r="B88" s="5"/>
      <c r="C88" s="5"/>
      <c r="D88" s="5"/>
      <c r="E88" s="5"/>
      <c r="F88" s="5"/>
      <c r="G88" s="5"/>
      <c r="H88" s="5"/>
      <c r="I88" s="6"/>
      <c r="J88" s="6"/>
      <c r="K88" s="5"/>
      <c r="L88" s="1"/>
    </row>
    <row r="89" spans="1:12" x14ac:dyDescent="0.35">
      <c r="A89" s="5"/>
      <c r="B89" s="5"/>
      <c r="C89" s="5"/>
      <c r="D89" s="5"/>
      <c r="E89" s="5"/>
      <c r="F89" s="5"/>
      <c r="G89" s="5"/>
      <c r="H89" s="5"/>
      <c r="I89" s="6"/>
      <c r="J89" s="6"/>
      <c r="K89" s="5"/>
      <c r="L89" s="1"/>
    </row>
    <row r="90" spans="1:12" x14ac:dyDescent="0.35">
      <c r="A90" s="5"/>
      <c r="B90" s="5"/>
      <c r="C90" s="5"/>
      <c r="D90" s="5"/>
      <c r="E90" s="5"/>
      <c r="F90" s="5"/>
      <c r="G90" s="5"/>
      <c r="H90" s="5"/>
      <c r="I90" s="6"/>
      <c r="J90" s="6"/>
      <c r="K90" s="5"/>
      <c r="L90" s="1"/>
    </row>
    <row r="91" spans="1:12" x14ac:dyDescent="0.35">
      <c r="A91" s="5"/>
      <c r="B91" s="5"/>
      <c r="C91" s="5"/>
      <c r="D91" s="5"/>
      <c r="E91" s="5"/>
      <c r="F91" s="5"/>
      <c r="G91" s="5"/>
      <c r="H91" s="5"/>
      <c r="I91" s="6"/>
      <c r="J91" s="6"/>
      <c r="K91" s="5"/>
      <c r="L91" s="1"/>
    </row>
    <row r="92" spans="1:12" x14ac:dyDescent="0.35">
      <c r="A92" s="5"/>
      <c r="B92" s="5"/>
      <c r="C92" s="5"/>
      <c r="D92" s="5"/>
      <c r="E92" s="5"/>
      <c r="F92" s="5"/>
      <c r="G92" s="5"/>
      <c r="H92" s="5"/>
      <c r="I92" s="6"/>
      <c r="J92" s="6"/>
      <c r="K92" s="5"/>
      <c r="L92" s="1"/>
    </row>
    <row r="93" spans="1:12" x14ac:dyDescent="0.35">
      <c r="A93" s="5"/>
      <c r="B93" s="5"/>
      <c r="C93" s="5"/>
      <c r="D93" s="5"/>
      <c r="E93" s="5"/>
      <c r="F93" s="5"/>
      <c r="G93" s="5"/>
      <c r="H93" s="5"/>
      <c r="I93" s="6"/>
      <c r="J93" s="6"/>
      <c r="K93" s="5"/>
      <c r="L93" s="1"/>
    </row>
    <row r="94" spans="1:12" x14ac:dyDescent="0.35">
      <c r="A94" s="5"/>
      <c r="B94" s="5"/>
      <c r="C94" s="5"/>
      <c r="D94" s="5"/>
      <c r="E94" s="5"/>
      <c r="F94" s="5"/>
      <c r="G94" s="5"/>
      <c r="H94" s="5"/>
      <c r="I94" s="6"/>
      <c r="J94" s="6"/>
      <c r="K94" s="5"/>
      <c r="L94" s="1"/>
    </row>
    <row r="95" spans="1:12" x14ac:dyDescent="0.35">
      <c r="A95" s="5"/>
      <c r="B95" s="5"/>
      <c r="C95" s="5"/>
      <c r="D95" s="5"/>
      <c r="E95" s="5"/>
      <c r="F95" s="5"/>
      <c r="G95" s="5"/>
      <c r="H95" s="5"/>
      <c r="I95" s="6"/>
      <c r="J95" s="6"/>
      <c r="K95" s="5"/>
      <c r="L95" s="1"/>
    </row>
    <row r="96" spans="1:12" x14ac:dyDescent="0.35">
      <c r="A96" s="5"/>
      <c r="B96" s="5"/>
      <c r="C96" s="5"/>
      <c r="D96" s="5"/>
      <c r="E96" s="5"/>
      <c r="F96" s="5"/>
      <c r="G96" s="5"/>
      <c r="H96" s="5"/>
      <c r="I96" s="6"/>
      <c r="J96" s="6"/>
      <c r="K96" s="5"/>
      <c r="L96" s="1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6"/>
      <c r="J97" s="6"/>
      <c r="K97" s="5"/>
      <c r="L97" s="1"/>
    </row>
    <row r="98" spans="1:12" x14ac:dyDescent="0.35">
      <c r="A98" s="5"/>
      <c r="B98" s="5"/>
      <c r="C98" s="5"/>
      <c r="D98" s="5"/>
      <c r="E98" s="5"/>
      <c r="F98" s="5"/>
      <c r="G98" s="5"/>
      <c r="H98" s="5"/>
      <c r="I98" s="6"/>
      <c r="J98" s="6"/>
      <c r="K98" s="5"/>
      <c r="L98" s="1"/>
    </row>
    <row r="99" spans="1:12" x14ac:dyDescent="0.35">
      <c r="A99" s="5"/>
      <c r="B99" s="5"/>
      <c r="C99" s="5"/>
      <c r="D99" s="5"/>
      <c r="E99" s="5"/>
      <c r="F99" s="5"/>
      <c r="G99" s="5"/>
      <c r="H99" s="5"/>
      <c r="I99" s="6"/>
      <c r="J99" s="6"/>
      <c r="K99" s="5"/>
      <c r="L99" s="1"/>
    </row>
    <row r="100" spans="1:12" x14ac:dyDescent="0.35">
      <c r="A100" s="5"/>
      <c r="B100" s="5"/>
      <c r="C100" s="5"/>
      <c r="D100" s="5"/>
      <c r="E100" s="5"/>
      <c r="F100" s="5"/>
      <c r="G100" s="5"/>
      <c r="H100" s="5"/>
      <c r="I100" s="6"/>
      <c r="J100" s="6"/>
      <c r="K100" s="5"/>
      <c r="L100" s="1"/>
    </row>
    <row r="101" spans="1:12" x14ac:dyDescent="0.35">
      <c r="A101" s="5"/>
      <c r="B101" s="5"/>
      <c r="C101" s="5"/>
      <c r="D101" s="5"/>
      <c r="E101" s="5"/>
      <c r="F101" s="5"/>
      <c r="G101" s="5"/>
      <c r="H101" s="5"/>
      <c r="I101" s="6"/>
      <c r="J101" s="6"/>
      <c r="K101" s="5"/>
      <c r="L101" s="1"/>
    </row>
    <row r="102" spans="1:12" x14ac:dyDescent="0.35">
      <c r="A102" s="5"/>
      <c r="B102" s="5"/>
      <c r="C102" s="5"/>
      <c r="D102" s="5"/>
      <c r="E102" s="5"/>
      <c r="F102" s="5"/>
      <c r="G102" s="5"/>
      <c r="H102" s="5"/>
      <c r="I102" s="6"/>
      <c r="J102" s="6"/>
      <c r="K102" s="5"/>
      <c r="L102" s="1"/>
    </row>
    <row r="103" spans="1:12" x14ac:dyDescent="0.35">
      <c r="A103" s="5"/>
      <c r="B103" s="5"/>
      <c r="C103" s="5"/>
      <c r="D103" s="5"/>
      <c r="E103" s="5"/>
      <c r="F103" s="5"/>
      <c r="G103" s="5"/>
      <c r="H103" s="5"/>
      <c r="I103" s="6"/>
      <c r="J103" s="6"/>
      <c r="K103" s="5"/>
      <c r="L103" s="1"/>
    </row>
    <row r="104" spans="1:12" x14ac:dyDescent="0.35">
      <c r="A104" s="5"/>
      <c r="B104" s="5"/>
      <c r="C104" s="5"/>
      <c r="D104" s="5"/>
      <c r="E104" s="5"/>
      <c r="F104" s="5"/>
      <c r="G104" s="5"/>
      <c r="H104" s="5"/>
      <c r="I104" s="6"/>
      <c r="J104" s="6"/>
      <c r="K104" s="5"/>
      <c r="L104" s="1"/>
    </row>
    <row r="105" spans="1:12" x14ac:dyDescent="0.35">
      <c r="A105" s="5"/>
      <c r="B105" s="5"/>
      <c r="C105" s="5"/>
      <c r="D105" s="5"/>
      <c r="E105" s="5"/>
      <c r="F105" s="5"/>
      <c r="G105" s="5"/>
      <c r="H105" s="5"/>
      <c r="I105" s="6"/>
      <c r="J105" s="6"/>
      <c r="K105" s="5"/>
      <c r="L105" s="1"/>
    </row>
    <row r="106" spans="1:12" x14ac:dyDescent="0.35">
      <c r="A106" s="5"/>
      <c r="B106" s="5"/>
      <c r="C106" s="5"/>
      <c r="D106" s="5"/>
      <c r="E106" s="5"/>
      <c r="F106" s="5"/>
      <c r="G106" s="5"/>
      <c r="H106" s="5"/>
      <c r="I106" s="6"/>
      <c r="J106" s="6"/>
      <c r="K106" s="5"/>
      <c r="L106" s="1"/>
    </row>
    <row r="107" spans="1:12" x14ac:dyDescent="0.35">
      <c r="A107" s="5"/>
      <c r="B107" s="5"/>
      <c r="C107" s="5"/>
      <c r="D107" s="5"/>
      <c r="E107" s="5"/>
      <c r="F107" s="5"/>
      <c r="G107" s="5"/>
      <c r="H107" s="5"/>
      <c r="I107" s="6"/>
      <c r="J107" s="6"/>
      <c r="K107" s="5"/>
      <c r="L107" s="1"/>
    </row>
    <row r="108" spans="1:12" x14ac:dyDescent="0.35">
      <c r="A108" s="5"/>
      <c r="B108" s="5"/>
      <c r="C108" s="5"/>
      <c r="D108" s="5"/>
      <c r="E108" s="5"/>
      <c r="F108" s="5"/>
      <c r="G108" s="5"/>
      <c r="H108" s="5"/>
      <c r="I108" s="6"/>
      <c r="J108" s="6"/>
      <c r="K108" s="5"/>
      <c r="L108" s="1"/>
    </row>
    <row r="109" spans="1:12" x14ac:dyDescent="0.35">
      <c r="A109" s="5"/>
      <c r="B109" s="5"/>
      <c r="C109" s="5"/>
      <c r="D109" s="5"/>
      <c r="E109" s="5"/>
      <c r="F109" s="5"/>
      <c r="G109" s="5"/>
      <c r="H109" s="5"/>
      <c r="I109" s="6"/>
      <c r="J109" s="6"/>
      <c r="K109" s="5"/>
      <c r="L109" s="1"/>
    </row>
    <row r="110" spans="1:12" x14ac:dyDescent="0.35">
      <c r="A110" s="5"/>
      <c r="B110" s="5"/>
      <c r="C110" s="5"/>
      <c r="D110" s="5"/>
      <c r="E110" s="5"/>
      <c r="F110" s="5"/>
      <c r="G110" s="5"/>
      <c r="H110" s="5"/>
      <c r="I110" s="6"/>
      <c r="J110" s="6"/>
      <c r="K110" s="5"/>
      <c r="L110" s="1"/>
    </row>
    <row r="111" spans="1:12" x14ac:dyDescent="0.35">
      <c r="A111" s="5"/>
      <c r="B111" s="5"/>
      <c r="C111" s="5"/>
      <c r="D111" s="5"/>
      <c r="E111" s="5"/>
      <c r="F111" s="5"/>
      <c r="G111" s="5"/>
      <c r="H111" s="5"/>
      <c r="I111" s="6"/>
      <c r="J111" s="6"/>
      <c r="K111" s="5"/>
      <c r="L111" s="1"/>
    </row>
    <row r="112" spans="1:12" x14ac:dyDescent="0.35">
      <c r="A112" s="5"/>
      <c r="B112" s="5"/>
      <c r="C112" s="5"/>
      <c r="D112" s="5"/>
      <c r="E112" s="5"/>
      <c r="F112" s="5"/>
      <c r="G112" s="5"/>
      <c r="H112" s="5"/>
      <c r="I112" s="6"/>
      <c r="J112" s="6"/>
      <c r="K112" s="5"/>
      <c r="L112" s="1"/>
    </row>
    <row r="113" spans="1:12" x14ac:dyDescent="0.35">
      <c r="A113" s="5"/>
      <c r="B113" s="5"/>
      <c r="C113" s="5"/>
      <c r="D113" s="5"/>
      <c r="E113" s="5"/>
      <c r="F113" s="5"/>
      <c r="G113" s="5"/>
      <c r="H113" s="5"/>
      <c r="I113" s="6"/>
      <c r="J113" s="6"/>
      <c r="K113" s="5"/>
      <c r="L113" s="1"/>
    </row>
    <row r="114" spans="1:12" x14ac:dyDescent="0.35">
      <c r="A114" s="5"/>
      <c r="B114" s="5"/>
      <c r="C114" s="5"/>
      <c r="D114" s="5"/>
      <c r="E114" s="5"/>
      <c r="F114" s="5"/>
      <c r="G114" s="5"/>
      <c r="H114" s="5"/>
      <c r="I114" s="6"/>
      <c r="J114" s="6"/>
      <c r="K114" s="5"/>
      <c r="L114" s="1"/>
    </row>
    <row r="115" spans="1:12" x14ac:dyDescent="0.35">
      <c r="A115" s="5"/>
      <c r="B115" s="5"/>
      <c r="C115" s="5"/>
      <c r="D115" s="5"/>
      <c r="E115" s="5"/>
      <c r="F115" s="5"/>
      <c r="G115" s="5"/>
      <c r="H115" s="5"/>
      <c r="I115" s="6"/>
      <c r="J115" s="6"/>
      <c r="K115" s="5"/>
      <c r="L115" s="1"/>
    </row>
    <row r="116" spans="1:12" x14ac:dyDescent="0.35">
      <c r="A116" s="5"/>
      <c r="B116" s="5"/>
      <c r="C116" s="5"/>
      <c r="D116" s="5"/>
      <c r="E116" s="5"/>
      <c r="F116" s="5"/>
      <c r="G116" s="5"/>
      <c r="H116" s="5"/>
      <c r="I116" s="6"/>
      <c r="J116" s="6"/>
      <c r="K116" s="5"/>
      <c r="L116" s="1"/>
    </row>
    <row r="117" spans="1:12" x14ac:dyDescent="0.35">
      <c r="A117" s="5"/>
      <c r="B117" s="5"/>
      <c r="C117" s="5"/>
      <c r="D117" s="5"/>
      <c r="E117" s="5"/>
      <c r="F117" s="5"/>
      <c r="G117" s="5"/>
      <c r="H117" s="5"/>
      <c r="I117" s="6"/>
      <c r="J117" s="6"/>
      <c r="K117" s="5"/>
      <c r="L117" s="1"/>
    </row>
    <row r="118" spans="1:12" x14ac:dyDescent="0.35">
      <c r="A118" s="5"/>
      <c r="B118" s="5"/>
      <c r="C118" s="5"/>
      <c r="D118" s="5"/>
      <c r="E118" s="5"/>
      <c r="F118" s="5"/>
      <c r="G118" s="5"/>
      <c r="H118" s="5"/>
      <c r="I118" s="6"/>
      <c r="J118" s="6"/>
      <c r="K118" s="5"/>
      <c r="L118" s="1"/>
    </row>
    <row r="119" spans="1:12" x14ac:dyDescent="0.35">
      <c r="A119" s="5"/>
      <c r="B119" s="5"/>
      <c r="C119" s="5"/>
      <c r="D119" s="5"/>
      <c r="E119" s="5"/>
      <c r="F119" s="5"/>
      <c r="G119" s="5"/>
      <c r="H119" s="5"/>
      <c r="I119" s="6"/>
      <c r="J119" s="6"/>
      <c r="K119" s="5"/>
      <c r="L119" s="1"/>
    </row>
    <row r="120" spans="1:12" x14ac:dyDescent="0.35">
      <c r="A120" s="5"/>
      <c r="B120" s="5"/>
      <c r="C120" s="5"/>
      <c r="D120" s="5"/>
      <c r="E120" s="5"/>
      <c r="F120" s="5"/>
      <c r="G120" s="5"/>
      <c r="H120" s="5"/>
      <c r="I120" s="6"/>
      <c r="J120" s="6"/>
      <c r="K120" s="5"/>
      <c r="L120" s="1"/>
    </row>
    <row r="121" spans="1:12" x14ac:dyDescent="0.35">
      <c r="A121" s="5"/>
      <c r="B121" s="5"/>
      <c r="C121" s="5"/>
      <c r="D121" s="5"/>
      <c r="E121" s="5"/>
      <c r="F121" s="5"/>
      <c r="G121" s="5"/>
      <c r="H121" s="5"/>
      <c r="I121" s="6"/>
      <c r="J121" s="6"/>
      <c r="K121" s="5"/>
      <c r="L121" s="1"/>
    </row>
    <row r="122" spans="1:12" x14ac:dyDescent="0.35">
      <c r="A122" s="5"/>
      <c r="B122" s="5"/>
      <c r="C122" s="5"/>
      <c r="D122" s="5"/>
      <c r="E122" s="5"/>
      <c r="F122" s="5"/>
      <c r="G122" s="5"/>
      <c r="H122" s="5"/>
      <c r="I122" s="6"/>
      <c r="J122" s="6"/>
      <c r="K122" s="5"/>
      <c r="L122" s="1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6"/>
      <c r="J123" s="6"/>
      <c r="K123" s="5"/>
      <c r="L123" s="1"/>
    </row>
    <row r="124" spans="1:12" x14ac:dyDescent="0.35">
      <c r="A124" s="5"/>
      <c r="B124" s="5"/>
      <c r="C124" s="5"/>
      <c r="D124" s="5"/>
      <c r="E124" s="5"/>
      <c r="F124" s="5"/>
      <c r="G124" s="5"/>
      <c r="H124" s="5"/>
      <c r="I124" s="6"/>
      <c r="J124" s="6"/>
      <c r="K124" s="5"/>
      <c r="L124" s="1"/>
    </row>
    <row r="125" spans="1:12" x14ac:dyDescent="0.35">
      <c r="A125" s="5"/>
      <c r="B125" s="5"/>
      <c r="C125" s="5"/>
      <c r="D125" s="5"/>
      <c r="E125" s="5"/>
      <c r="F125" s="5"/>
      <c r="G125" s="5"/>
      <c r="H125" s="5"/>
      <c r="I125" s="6"/>
      <c r="J125" s="6"/>
      <c r="K125" s="5"/>
      <c r="L125" s="1"/>
    </row>
    <row r="126" spans="1:12" x14ac:dyDescent="0.35">
      <c r="A126" s="5"/>
      <c r="B126" s="5"/>
      <c r="C126" s="5"/>
      <c r="D126" s="5"/>
      <c r="E126" s="5"/>
      <c r="F126" s="5"/>
      <c r="G126" s="5"/>
      <c r="H126" s="5"/>
      <c r="I126" s="6"/>
      <c r="J126" s="6"/>
      <c r="K126" s="5"/>
      <c r="L126" s="1"/>
    </row>
    <row r="127" spans="1:12" x14ac:dyDescent="0.35">
      <c r="A127" s="5"/>
      <c r="B127" s="5"/>
      <c r="C127" s="5"/>
      <c r="D127" s="5"/>
      <c r="E127" s="5"/>
      <c r="F127" s="5"/>
      <c r="G127" s="5"/>
      <c r="H127" s="5"/>
      <c r="I127" s="6"/>
      <c r="J127" s="6"/>
      <c r="K127" s="5"/>
      <c r="L127" s="1"/>
    </row>
    <row r="128" spans="1:12" x14ac:dyDescent="0.35">
      <c r="A128" s="5"/>
      <c r="B128" s="5"/>
      <c r="C128" s="5"/>
      <c r="D128" s="5"/>
      <c r="E128" s="5"/>
      <c r="F128" s="5"/>
      <c r="G128" s="5"/>
      <c r="H128" s="5"/>
      <c r="I128" s="6"/>
      <c r="J128" s="6"/>
      <c r="K128" s="5"/>
      <c r="L128" s="1"/>
    </row>
    <row r="129" spans="1:12" x14ac:dyDescent="0.35">
      <c r="A129" s="5"/>
      <c r="B129" s="5"/>
      <c r="C129" s="5"/>
      <c r="D129" s="5"/>
      <c r="E129" s="5"/>
      <c r="F129" s="5"/>
      <c r="G129" s="5"/>
      <c r="H129" s="5"/>
      <c r="I129" s="6"/>
      <c r="J129" s="6"/>
      <c r="K129" s="5"/>
      <c r="L129" s="1"/>
    </row>
    <row r="130" spans="1:12" x14ac:dyDescent="0.35">
      <c r="A130" s="5"/>
      <c r="B130" s="5"/>
      <c r="C130" s="5"/>
      <c r="D130" s="5"/>
      <c r="E130" s="5"/>
      <c r="F130" s="5"/>
      <c r="G130" s="5"/>
      <c r="H130" s="5"/>
      <c r="I130" s="6"/>
      <c r="J130" s="6"/>
      <c r="K130" s="5"/>
      <c r="L130" s="1"/>
    </row>
    <row r="131" spans="1:12" x14ac:dyDescent="0.35">
      <c r="A131" s="5"/>
      <c r="B131" s="5"/>
      <c r="C131" s="5"/>
      <c r="D131" s="5"/>
      <c r="E131" s="5"/>
      <c r="F131" s="5"/>
      <c r="G131" s="5"/>
      <c r="H131" s="5"/>
      <c r="I131" s="6"/>
      <c r="J131" s="6"/>
      <c r="K131" s="5"/>
      <c r="L131" s="1"/>
    </row>
    <row r="132" spans="1:12" x14ac:dyDescent="0.35">
      <c r="A132" s="5"/>
      <c r="B132" s="5"/>
      <c r="C132" s="5"/>
      <c r="D132" s="5"/>
      <c r="E132" s="5"/>
      <c r="F132" s="5"/>
      <c r="G132" s="5"/>
      <c r="H132" s="5"/>
      <c r="I132" s="6"/>
      <c r="J132" s="6"/>
      <c r="K132" s="5"/>
      <c r="L132" s="1"/>
    </row>
    <row r="133" spans="1:12" x14ac:dyDescent="0.35">
      <c r="A133" s="5"/>
      <c r="B133" s="5"/>
      <c r="C133" s="5"/>
      <c r="D133" s="5"/>
      <c r="E133" s="5"/>
      <c r="F133" s="5"/>
      <c r="G133" s="5"/>
      <c r="H133" s="5"/>
      <c r="I133" s="6"/>
      <c r="J133" s="6"/>
      <c r="K133" s="5"/>
      <c r="L133" s="1"/>
    </row>
    <row r="134" spans="1:12" x14ac:dyDescent="0.35">
      <c r="A134" s="5"/>
      <c r="B134" s="5"/>
      <c r="C134" s="5"/>
      <c r="D134" s="5"/>
      <c r="E134" s="5"/>
      <c r="F134" s="5"/>
      <c r="G134" s="5"/>
      <c r="H134" s="5"/>
      <c r="I134" s="6"/>
      <c r="J134" s="6"/>
      <c r="K134" s="5"/>
      <c r="L134" s="1"/>
    </row>
    <row r="135" spans="1:12" x14ac:dyDescent="0.35">
      <c r="A135" s="5"/>
      <c r="B135" s="5"/>
      <c r="C135" s="5"/>
      <c r="D135" s="5"/>
      <c r="E135" s="5"/>
      <c r="F135" s="5"/>
      <c r="G135" s="5"/>
      <c r="H135" s="5"/>
      <c r="I135" s="6"/>
      <c r="J135" s="6"/>
      <c r="K135" s="5"/>
      <c r="L135" s="1"/>
    </row>
    <row r="136" spans="1:12" x14ac:dyDescent="0.35">
      <c r="A136" s="5"/>
      <c r="B136" s="5"/>
      <c r="C136" s="5"/>
      <c r="D136" s="5"/>
      <c r="E136" s="5"/>
      <c r="F136" s="5"/>
      <c r="G136" s="5"/>
      <c r="H136" s="5"/>
      <c r="I136" s="6"/>
      <c r="J136" s="6"/>
      <c r="K136" s="5"/>
      <c r="L136" s="1"/>
    </row>
    <row r="137" spans="1:12" x14ac:dyDescent="0.35">
      <c r="A137" s="5"/>
      <c r="B137" s="5"/>
      <c r="C137" s="5"/>
      <c r="D137" s="5"/>
      <c r="E137" s="5"/>
      <c r="F137" s="5"/>
      <c r="G137" s="5"/>
      <c r="H137" s="5"/>
      <c r="I137" s="6"/>
      <c r="J137" s="6"/>
      <c r="K137" s="5"/>
      <c r="L137" s="1"/>
    </row>
    <row r="138" spans="1:12" x14ac:dyDescent="0.35">
      <c r="A138" s="5"/>
      <c r="B138" s="5"/>
      <c r="C138" s="5"/>
      <c r="D138" s="5"/>
      <c r="E138" s="5"/>
      <c r="F138" s="5"/>
      <c r="G138" s="5"/>
      <c r="H138" s="5"/>
      <c r="I138" s="6"/>
      <c r="J138" s="6"/>
      <c r="K138" s="5"/>
      <c r="L138" s="1"/>
    </row>
    <row r="139" spans="1:12" x14ac:dyDescent="0.35">
      <c r="A139" s="5"/>
      <c r="B139" s="5"/>
      <c r="C139" s="5"/>
      <c r="D139" s="5"/>
      <c r="E139" s="5"/>
      <c r="F139" s="5"/>
      <c r="G139" s="5"/>
      <c r="H139" s="5"/>
      <c r="I139" s="6"/>
      <c r="J139" s="6"/>
      <c r="K139" s="5"/>
      <c r="L139" s="1"/>
    </row>
    <row r="140" spans="1:12" x14ac:dyDescent="0.35">
      <c r="A140" s="5"/>
      <c r="B140" s="5"/>
      <c r="C140" s="5"/>
      <c r="D140" s="5"/>
      <c r="E140" s="5"/>
      <c r="F140" s="5"/>
      <c r="G140" s="5"/>
      <c r="H140" s="5"/>
      <c r="I140" s="6"/>
      <c r="J140" s="6"/>
      <c r="K140" s="5"/>
      <c r="L140" s="1"/>
    </row>
    <row r="141" spans="1:12" x14ac:dyDescent="0.35">
      <c r="A141" s="5"/>
      <c r="B141" s="5"/>
      <c r="C141" s="5"/>
      <c r="D141" s="5"/>
      <c r="E141" s="5"/>
      <c r="F141" s="5"/>
      <c r="G141" s="5"/>
      <c r="H141" s="5"/>
      <c r="I141" s="6"/>
      <c r="J141" s="6"/>
      <c r="K141" s="5"/>
      <c r="L141" s="1"/>
    </row>
    <row r="142" spans="1:12" x14ac:dyDescent="0.35">
      <c r="A142" s="5"/>
      <c r="B142" s="5"/>
      <c r="C142" s="5"/>
      <c r="D142" s="5"/>
      <c r="E142" s="5"/>
      <c r="F142" s="5"/>
      <c r="G142" s="5"/>
      <c r="H142" s="5"/>
      <c r="I142" s="6"/>
      <c r="J142" s="6"/>
      <c r="K142" s="5"/>
      <c r="L142" s="1"/>
    </row>
    <row r="143" spans="1:12" x14ac:dyDescent="0.35">
      <c r="A143" s="5"/>
      <c r="B143" s="5"/>
      <c r="C143" s="5"/>
      <c r="D143" s="5"/>
      <c r="E143" s="5"/>
      <c r="F143" s="5"/>
      <c r="G143" s="5"/>
      <c r="H143" s="5"/>
      <c r="I143" s="6"/>
      <c r="J143" s="6"/>
      <c r="K143" s="5"/>
      <c r="L143" s="1"/>
    </row>
    <row r="144" spans="1:12" x14ac:dyDescent="0.35">
      <c r="A144" s="5"/>
      <c r="B144" s="5"/>
      <c r="C144" s="5"/>
      <c r="D144" s="5"/>
      <c r="E144" s="5"/>
      <c r="F144" s="5"/>
      <c r="G144" s="5"/>
      <c r="H144" s="5"/>
      <c r="I144" s="6"/>
      <c r="J144" s="6"/>
      <c r="K144" s="5"/>
      <c r="L144" s="1"/>
    </row>
    <row r="145" spans="1:12" x14ac:dyDescent="0.35">
      <c r="A145" s="5"/>
      <c r="B145" s="5"/>
      <c r="C145" s="5"/>
      <c r="D145" s="5"/>
      <c r="E145" s="5"/>
      <c r="F145" s="5"/>
      <c r="G145" s="5"/>
      <c r="H145" s="5"/>
      <c r="I145" s="6"/>
      <c r="J145" s="6"/>
      <c r="K145" s="5"/>
      <c r="L145" s="1"/>
    </row>
    <row r="146" spans="1:12" x14ac:dyDescent="0.35">
      <c r="A146" s="5"/>
      <c r="B146" s="5"/>
      <c r="C146" s="5"/>
      <c r="D146" s="5"/>
      <c r="E146" s="5"/>
      <c r="F146" s="5"/>
      <c r="G146" s="5"/>
      <c r="H146" s="5"/>
      <c r="I146" s="6"/>
      <c r="J146" s="6"/>
      <c r="K146" s="5"/>
      <c r="L146" s="1"/>
    </row>
    <row r="147" spans="1:12" x14ac:dyDescent="0.35">
      <c r="A147" s="5"/>
      <c r="B147" s="5"/>
      <c r="C147" s="5"/>
      <c r="D147" s="5"/>
      <c r="E147" s="5"/>
      <c r="F147" s="5"/>
      <c r="G147" s="5"/>
      <c r="H147" s="5"/>
      <c r="I147" s="6"/>
      <c r="J147" s="6"/>
      <c r="K147" s="5"/>
      <c r="L147" s="1"/>
    </row>
    <row r="148" spans="1:12" x14ac:dyDescent="0.35">
      <c r="A148" s="5"/>
      <c r="B148" s="5"/>
      <c r="C148" s="5"/>
      <c r="D148" s="5"/>
      <c r="E148" s="5"/>
      <c r="F148" s="5"/>
      <c r="G148" s="5"/>
      <c r="H148" s="5"/>
      <c r="I148" s="6"/>
      <c r="J148" s="6"/>
      <c r="K148" s="5"/>
      <c r="L148" s="1"/>
    </row>
    <row r="149" spans="1:12" x14ac:dyDescent="0.35">
      <c r="A149" s="5"/>
      <c r="B149" s="5"/>
      <c r="C149" s="5"/>
      <c r="D149" s="5"/>
      <c r="E149" s="5"/>
      <c r="F149" s="5"/>
      <c r="G149" s="5"/>
      <c r="H149" s="5"/>
      <c r="I149" s="6"/>
      <c r="J149" s="6"/>
      <c r="K149" s="5"/>
      <c r="L149" s="1"/>
    </row>
    <row r="150" spans="1:12" x14ac:dyDescent="0.35">
      <c r="A150" s="5"/>
      <c r="B150" s="5"/>
      <c r="C150" s="5"/>
      <c r="D150" s="5"/>
      <c r="E150" s="5"/>
      <c r="F150" s="5"/>
      <c r="G150" s="5"/>
      <c r="H150" s="5"/>
      <c r="I150" s="6"/>
      <c r="J150" s="6"/>
      <c r="K150" s="5"/>
      <c r="L150" s="1"/>
    </row>
    <row r="151" spans="1:12" x14ac:dyDescent="0.35">
      <c r="A151" s="5"/>
      <c r="B151" s="5"/>
      <c r="C151" s="5"/>
      <c r="D151" s="5"/>
      <c r="E151" s="5"/>
      <c r="F151" s="5"/>
      <c r="G151" s="5"/>
      <c r="H151" s="5"/>
      <c r="I151" s="6"/>
      <c r="J151" s="6"/>
      <c r="K151" s="5"/>
      <c r="L151" s="1"/>
    </row>
    <row r="152" spans="1:12" x14ac:dyDescent="0.35">
      <c r="A152" s="5"/>
      <c r="B152" s="5"/>
      <c r="C152" s="5"/>
      <c r="D152" s="5"/>
      <c r="E152" s="5"/>
      <c r="F152" s="5"/>
      <c r="G152" s="5"/>
      <c r="H152" s="5"/>
      <c r="I152" s="6"/>
      <c r="J152" s="6"/>
      <c r="K152" s="5"/>
      <c r="L152" s="1"/>
    </row>
    <row r="153" spans="1:12" x14ac:dyDescent="0.35">
      <c r="A153" s="5"/>
      <c r="B153" s="5"/>
      <c r="C153" s="5"/>
      <c r="D153" s="5"/>
      <c r="E153" s="5"/>
      <c r="F153" s="5"/>
      <c r="G153" s="5"/>
      <c r="H153" s="5"/>
      <c r="I153" s="6"/>
      <c r="J153" s="6"/>
      <c r="K153" s="5"/>
      <c r="L153" s="1"/>
    </row>
    <row r="154" spans="1:12" x14ac:dyDescent="0.35">
      <c r="A154" s="5"/>
      <c r="B154" s="5"/>
      <c r="C154" s="5"/>
      <c r="D154" s="5"/>
      <c r="E154" s="5"/>
      <c r="F154" s="5"/>
      <c r="G154" s="5"/>
      <c r="H154" s="5"/>
      <c r="I154" s="6"/>
      <c r="J154" s="6"/>
      <c r="K154" s="5"/>
      <c r="L154" s="1"/>
    </row>
    <row r="155" spans="1:12" x14ac:dyDescent="0.35">
      <c r="A155" s="5"/>
      <c r="B155" s="5"/>
      <c r="C155" s="5"/>
      <c r="D155" s="5"/>
      <c r="E155" s="5"/>
      <c r="F155" s="5"/>
      <c r="G155" s="5"/>
      <c r="H155" s="5"/>
      <c r="I155" s="6"/>
      <c r="J155" s="6"/>
      <c r="K155" s="5"/>
      <c r="L155" s="1"/>
    </row>
    <row r="156" spans="1:12" x14ac:dyDescent="0.35">
      <c r="A156" s="5"/>
      <c r="B156" s="5"/>
      <c r="C156" s="5"/>
      <c r="D156" s="5"/>
      <c r="E156" s="5"/>
      <c r="F156" s="5"/>
      <c r="G156" s="5"/>
      <c r="H156" s="5"/>
      <c r="I156" s="6"/>
      <c r="J156" s="6"/>
      <c r="K156" s="5"/>
      <c r="L156" s="1"/>
    </row>
    <row r="157" spans="1:12" x14ac:dyDescent="0.35">
      <c r="A157" s="5"/>
      <c r="B157" s="5"/>
      <c r="C157" s="5"/>
      <c r="D157" s="5"/>
      <c r="E157" s="5"/>
      <c r="F157" s="5"/>
      <c r="G157" s="5"/>
      <c r="H157" s="5"/>
      <c r="I157" s="6"/>
      <c r="J157" s="6"/>
      <c r="K157" s="5"/>
      <c r="L157" s="1"/>
    </row>
    <row r="158" spans="1:12" x14ac:dyDescent="0.35">
      <c r="A158" s="5"/>
      <c r="B158" s="5"/>
      <c r="C158" s="5"/>
      <c r="D158" s="5"/>
      <c r="E158" s="5"/>
      <c r="F158" s="5"/>
      <c r="G158" s="5"/>
      <c r="H158" s="5"/>
      <c r="I158" s="6"/>
      <c r="J158" s="6"/>
      <c r="K158" s="5"/>
      <c r="L158" s="1"/>
    </row>
    <row r="159" spans="1:12" x14ac:dyDescent="0.35">
      <c r="A159" s="5"/>
      <c r="B159" s="5"/>
      <c r="C159" s="5"/>
      <c r="D159" s="5"/>
      <c r="E159" s="5"/>
      <c r="F159" s="5"/>
      <c r="G159" s="5"/>
      <c r="H159" s="5"/>
      <c r="I159" s="6"/>
      <c r="J159" s="6"/>
      <c r="K159" s="5"/>
      <c r="L159" s="1"/>
    </row>
    <row r="160" spans="1:12" x14ac:dyDescent="0.35">
      <c r="A160" s="5"/>
      <c r="B160" s="5"/>
      <c r="C160" s="5"/>
      <c r="D160" s="5"/>
      <c r="E160" s="5"/>
      <c r="F160" s="5"/>
      <c r="G160" s="5"/>
      <c r="H160" s="5"/>
      <c r="I160" s="6"/>
      <c r="J160" s="6"/>
      <c r="K160" s="5"/>
      <c r="L160" s="1"/>
    </row>
    <row r="161" spans="1:12" x14ac:dyDescent="0.35">
      <c r="A161" s="5"/>
      <c r="B161" s="5"/>
      <c r="C161" s="5"/>
      <c r="D161" s="5"/>
      <c r="E161" s="5"/>
      <c r="F161" s="5"/>
      <c r="G161" s="5"/>
      <c r="H161" s="5"/>
      <c r="I161" s="6"/>
      <c r="J161" s="6"/>
      <c r="K161" s="5"/>
      <c r="L161" s="1"/>
    </row>
    <row r="162" spans="1:12" x14ac:dyDescent="0.35">
      <c r="A162" s="5"/>
      <c r="B162" s="5"/>
      <c r="C162" s="5"/>
      <c r="D162" s="5"/>
      <c r="E162" s="5"/>
      <c r="F162" s="5"/>
      <c r="G162" s="5"/>
      <c r="H162" s="5"/>
      <c r="I162" s="6"/>
      <c r="J162" s="6"/>
      <c r="K162" s="5"/>
      <c r="L162" s="1"/>
    </row>
    <row r="163" spans="1:12" x14ac:dyDescent="0.35">
      <c r="A163" s="5"/>
      <c r="B163" s="5"/>
      <c r="C163" s="5"/>
      <c r="D163" s="5"/>
      <c r="E163" s="5"/>
      <c r="F163" s="5"/>
      <c r="G163" s="5"/>
      <c r="H163" s="5"/>
      <c r="I163" s="6"/>
      <c r="J163" s="6"/>
      <c r="K163" s="5"/>
      <c r="L163" s="1"/>
    </row>
    <row r="164" spans="1:12" x14ac:dyDescent="0.35">
      <c r="A164" s="5"/>
      <c r="B164" s="5"/>
      <c r="C164" s="5"/>
      <c r="D164" s="5"/>
      <c r="E164" s="5"/>
      <c r="F164" s="5"/>
      <c r="G164" s="5"/>
      <c r="H164" s="5"/>
      <c r="I164" s="6"/>
      <c r="J164" s="6"/>
      <c r="K164" s="5"/>
      <c r="L164" s="1"/>
    </row>
    <row r="165" spans="1:12" x14ac:dyDescent="0.35">
      <c r="A165" s="5"/>
      <c r="B165" s="5"/>
      <c r="C165" s="5"/>
      <c r="D165" s="5"/>
      <c r="E165" s="5"/>
      <c r="F165" s="5"/>
      <c r="G165" s="5"/>
      <c r="H165" s="5"/>
      <c r="I165" s="6"/>
      <c r="J165" s="6"/>
      <c r="K165" s="5"/>
      <c r="L165" s="1"/>
    </row>
    <row r="166" spans="1:12" x14ac:dyDescent="0.35">
      <c r="A166" s="5"/>
      <c r="B166" s="5"/>
      <c r="C166" s="5"/>
      <c r="D166" s="5"/>
      <c r="E166" s="5"/>
      <c r="F166" s="5"/>
      <c r="G166" s="5"/>
      <c r="H166" s="5"/>
      <c r="I166" s="6"/>
      <c r="J166" s="6"/>
      <c r="K166" s="5"/>
      <c r="L166" s="1"/>
    </row>
    <row r="167" spans="1:12" x14ac:dyDescent="0.35">
      <c r="A167" s="5"/>
      <c r="B167" s="5"/>
      <c r="C167" s="5"/>
      <c r="D167" s="5"/>
      <c r="E167" s="5"/>
      <c r="F167" s="5"/>
      <c r="G167" s="5"/>
      <c r="H167" s="5"/>
      <c r="I167" s="6"/>
      <c r="J167" s="6"/>
      <c r="K167" s="5"/>
      <c r="L167" s="1"/>
    </row>
    <row r="168" spans="1:12" x14ac:dyDescent="0.35">
      <c r="A168" s="5"/>
      <c r="B168" s="5"/>
      <c r="C168" s="5"/>
      <c r="D168" s="5"/>
      <c r="E168" s="5"/>
      <c r="F168" s="5"/>
      <c r="G168" s="5"/>
      <c r="H168" s="5"/>
      <c r="I168" s="6"/>
      <c r="J168" s="6"/>
      <c r="K168" s="5"/>
      <c r="L168" s="1"/>
    </row>
    <row r="169" spans="1:12" x14ac:dyDescent="0.35">
      <c r="A169" s="5"/>
      <c r="B169" s="5"/>
      <c r="C169" s="5"/>
      <c r="D169" s="5"/>
      <c r="E169" s="5"/>
      <c r="F169" s="5"/>
      <c r="G169" s="5"/>
      <c r="H169" s="5"/>
      <c r="I169" s="6"/>
      <c r="J169" s="6"/>
      <c r="K169" s="5"/>
      <c r="L169" s="1"/>
    </row>
    <row r="170" spans="1:12" x14ac:dyDescent="0.35">
      <c r="A170" s="5"/>
      <c r="B170" s="5"/>
      <c r="C170" s="5"/>
      <c r="D170" s="5"/>
      <c r="E170" s="5"/>
      <c r="F170" s="5"/>
      <c r="G170" s="5"/>
      <c r="H170" s="5"/>
      <c r="I170" s="6"/>
      <c r="J170" s="6"/>
      <c r="K170" s="5"/>
      <c r="L170" s="1"/>
    </row>
    <row r="171" spans="1:12" x14ac:dyDescent="0.35">
      <c r="A171" s="5"/>
      <c r="B171" s="5"/>
      <c r="C171" s="5"/>
      <c r="D171" s="5"/>
      <c r="E171" s="5"/>
      <c r="F171" s="5"/>
      <c r="G171" s="5"/>
      <c r="H171" s="5"/>
      <c r="I171" s="6"/>
      <c r="J171" s="6"/>
      <c r="K171" s="5"/>
      <c r="L171" s="1"/>
    </row>
    <row r="172" spans="1:12" x14ac:dyDescent="0.35">
      <c r="A172" s="5"/>
      <c r="B172" s="5"/>
      <c r="C172" s="5"/>
      <c r="D172" s="5"/>
      <c r="E172" s="5"/>
      <c r="F172" s="5"/>
      <c r="G172" s="5"/>
      <c r="H172" s="5"/>
      <c r="I172" s="6"/>
      <c r="J172" s="6"/>
      <c r="K172" s="5"/>
      <c r="L172" s="1"/>
    </row>
    <row r="173" spans="1:12" x14ac:dyDescent="0.35">
      <c r="A173" s="5"/>
      <c r="B173" s="5"/>
      <c r="C173" s="5"/>
      <c r="D173" s="5"/>
      <c r="E173" s="5"/>
      <c r="F173" s="5"/>
      <c r="G173" s="5"/>
      <c r="H173" s="5"/>
      <c r="I173" s="6"/>
      <c r="J173" s="6"/>
      <c r="K173" s="5"/>
      <c r="L173" s="1"/>
    </row>
    <row r="174" spans="1:12" x14ac:dyDescent="0.35">
      <c r="A174" s="5"/>
      <c r="B174" s="5"/>
      <c r="C174" s="5"/>
      <c r="D174" s="5"/>
      <c r="E174" s="5"/>
      <c r="F174" s="5"/>
      <c r="G174" s="5"/>
      <c r="H174" s="5"/>
      <c r="I174" s="6"/>
      <c r="J174" s="6"/>
      <c r="K174" s="5"/>
      <c r="L174" s="1"/>
    </row>
    <row r="175" spans="1:12" x14ac:dyDescent="0.35">
      <c r="A175" s="5"/>
      <c r="B175" s="5"/>
      <c r="C175" s="5"/>
      <c r="D175" s="5"/>
      <c r="E175" s="5"/>
      <c r="F175" s="5"/>
      <c r="G175" s="5"/>
      <c r="H175" s="5"/>
      <c r="I175" s="6"/>
      <c r="J175" s="6"/>
      <c r="K175" s="5"/>
      <c r="L175" s="1"/>
    </row>
    <row r="176" spans="1:12" x14ac:dyDescent="0.35">
      <c r="A176" s="5"/>
      <c r="B176" s="5"/>
      <c r="C176" s="5"/>
      <c r="D176" s="5"/>
      <c r="E176" s="5"/>
      <c r="F176" s="5"/>
      <c r="G176" s="5"/>
      <c r="H176" s="5"/>
      <c r="I176" s="6"/>
      <c r="J176" s="6"/>
      <c r="K176" s="5"/>
      <c r="L176" s="1"/>
    </row>
    <row r="177" spans="1:12" x14ac:dyDescent="0.35">
      <c r="A177" s="5"/>
      <c r="B177" s="5"/>
      <c r="C177" s="5"/>
      <c r="D177" s="5"/>
      <c r="E177" s="5"/>
      <c r="F177" s="5"/>
      <c r="G177" s="5"/>
      <c r="H177" s="5"/>
      <c r="I177" s="6"/>
      <c r="J177" s="6"/>
      <c r="K177" s="5"/>
      <c r="L177" s="1"/>
    </row>
    <row r="178" spans="1:12" x14ac:dyDescent="0.35">
      <c r="A178" s="5"/>
      <c r="B178" s="5"/>
      <c r="C178" s="5"/>
      <c r="D178" s="5"/>
      <c r="E178" s="5"/>
      <c r="F178" s="5"/>
      <c r="G178" s="5"/>
      <c r="H178" s="5"/>
      <c r="I178" s="6"/>
      <c r="J178" s="6"/>
      <c r="K178" s="5"/>
      <c r="L178" s="1"/>
    </row>
    <row r="179" spans="1:12" x14ac:dyDescent="0.35">
      <c r="A179" s="5"/>
      <c r="B179" s="5"/>
      <c r="C179" s="5"/>
      <c r="D179" s="5"/>
      <c r="E179" s="5"/>
      <c r="F179" s="5"/>
      <c r="G179" s="5"/>
      <c r="H179" s="5"/>
      <c r="I179" s="6"/>
      <c r="J179" s="6"/>
      <c r="K179" s="5"/>
      <c r="L179" s="1"/>
    </row>
    <row r="180" spans="1:12" x14ac:dyDescent="0.35">
      <c r="A180" s="5"/>
      <c r="B180" s="5"/>
      <c r="C180" s="5"/>
      <c r="D180" s="5"/>
      <c r="E180" s="5"/>
      <c r="F180" s="5"/>
      <c r="G180" s="5"/>
      <c r="H180" s="5"/>
      <c r="I180" s="6"/>
      <c r="J180" s="6"/>
      <c r="K180" s="5"/>
      <c r="L180" s="1"/>
    </row>
    <row r="181" spans="1:12" x14ac:dyDescent="0.35">
      <c r="A181" s="5"/>
      <c r="B181" s="5"/>
      <c r="C181" s="5"/>
      <c r="D181" s="5"/>
      <c r="E181" s="5"/>
      <c r="F181" s="5"/>
      <c r="G181" s="5"/>
      <c r="H181" s="5"/>
      <c r="I181" s="6"/>
      <c r="J181" s="6"/>
      <c r="K181" s="5"/>
      <c r="L181" s="1"/>
    </row>
    <row r="182" spans="1:12" x14ac:dyDescent="0.35">
      <c r="A182" s="5"/>
      <c r="B182" s="5"/>
      <c r="C182" s="5"/>
      <c r="D182" s="5"/>
      <c r="E182" s="5"/>
      <c r="F182" s="5"/>
      <c r="G182" s="5"/>
      <c r="H182" s="5"/>
      <c r="I182" s="6"/>
      <c r="J182" s="6"/>
      <c r="K182" s="5"/>
      <c r="L182" s="1"/>
    </row>
    <row r="183" spans="1:12" x14ac:dyDescent="0.35">
      <c r="A183" s="5"/>
      <c r="B183" s="5"/>
      <c r="C183" s="5"/>
      <c r="D183" s="5"/>
      <c r="E183" s="5"/>
      <c r="F183" s="5"/>
      <c r="G183" s="5"/>
      <c r="H183" s="5"/>
      <c r="I183" s="6"/>
      <c r="J183" s="6"/>
      <c r="K183" s="5"/>
      <c r="L183" s="1"/>
    </row>
    <row r="184" spans="1:12" x14ac:dyDescent="0.35">
      <c r="A184" s="5"/>
      <c r="B184" s="5"/>
      <c r="C184" s="5"/>
      <c r="D184" s="5"/>
      <c r="E184" s="5"/>
      <c r="F184" s="5"/>
      <c r="G184" s="5"/>
      <c r="H184" s="5"/>
      <c r="I184" s="6"/>
      <c r="J184" s="6"/>
      <c r="K184" s="5"/>
      <c r="L184" s="1"/>
    </row>
    <row r="185" spans="1:12" x14ac:dyDescent="0.35">
      <c r="A185" s="5"/>
      <c r="B185" s="5"/>
      <c r="C185" s="5"/>
      <c r="D185" s="5"/>
      <c r="E185" s="5"/>
      <c r="F185" s="5"/>
      <c r="G185" s="5"/>
      <c r="H185" s="5"/>
      <c r="I185" s="6"/>
      <c r="J185" s="6"/>
      <c r="K185" s="5"/>
      <c r="L185" s="1"/>
    </row>
    <row r="186" spans="1:12" x14ac:dyDescent="0.35">
      <c r="A186" s="5"/>
      <c r="B186" s="5"/>
      <c r="C186" s="5"/>
      <c r="D186" s="5"/>
      <c r="E186" s="5"/>
      <c r="F186" s="5"/>
      <c r="G186" s="5"/>
      <c r="H186" s="5"/>
      <c r="I186" s="6"/>
      <c r="J186" s="6"/>
      <c r="K186" s="5"/>
      <c r="L186" s="1"/>
    </row>
    <row r="187" spans="1:12" x14ac:dyDescent="0.35">
      <c r="A187" s="5"/>
      <c r="B187" s="5"/>
      <c r="C187" s="5"/>
      <c r="D187" s="5"/>
      <c r="E187" s="5"/>
      <c r="F187" s="5"/>
      <c r="G187" s="5"/>
      <c r="H187" s="5"/>
      <c r="I187" s="6"/>
      <c r="J187" s="6"/>
      <c r="K187" s="5"/>
      <c r="L187" s="1"/>
    </row>
    <row r="188" spans="1:12" x14ac:dyDescent="0.35">
      <c r="A188" s="5"/>
      <c r="B188" s="5"/>
      <c r="C188" s="5"/>
      <c r="D188" s="5"/>
      <c r="E188" s="5"/>
      <c r="F188" s="5"/>
      <c r="G188" s="5"/>
      <c r="H188" s="5"/>
      <c r="I188" s="6"/>
      <c r="J188" s="6"/>
      <c r="K188" s="5"/>
      <c r="L188" s="1"/>
    </row>
    <row r="189" spans="1:12" x14ac:dyDescent="0.35">
      <c r="A189" s="5"/>
      <c r="B189" s="5"/>
      <c r="C189" s="5"/>
      <c r="D189" s="5"/>
      <c r="E189" s="5"/>
      <c r="F189" s="5"/>
      <c r="G189" s="5"/>
      <c r="H189" s="5"/>
      <c r="I189" s="6"/>
      <c r="J189" s="6"/>
      <c r="K189" s="5"/>
      <c r="L189" s="1"/>
    </row>
    <row r="190" spans="1:12" x14ac:dyDescent="0.35">
      <c r="A190" s="5"/>
      <c r="B190" s="5"/>
      <c r="C190" s="5"/>
      <c r="D190" s="5"/>
      <c r="E190" s="5"/>
      <c r="F190" s="5"/>
      <c r="G190" s="5"/>
      <c r="H190" s="5"/>
      <c r="I190" s="6"/>
      <c r="J190" s="6"/>
      <c r="K190" s="5"/>
      <c r="L190" s="1"/>
    </row>
    <row r="191" spans="1:12" x14ac:dyDescent="0.35">
      <c r="A191" s="5"/>
      <c r="B191" s="5"/>
      <c r="C191" s="5"/>
      <c r="D191" s="5"/>
      <c r="E191" s="5"/>
      <c r="F191" s="5"/>
      <c r="G191" s="5"/>
      <c r="H191" s="5"/>
      <c r="I191" s="6"/>
      <c r="J191" s="6"/>
      <c r="K191" s="5"/>
      <c r="L191" s="1"/>
    </row>
    <row r="192" spans="1:12" x14ac:dyDescent="0.35">
      <c r="A192" s="5"/>
      <c r="B192" s="5"/>
      <c r="C192" s="5"/>
      <c r="D192" s="5"/>
      <c r="E192" s="5"/>
      <c r="F192" s="5"/>
      <c r="G192" s="5"/>
      <c r="H192" s="5"/>
      <c r="I192" s="6"/>
      <c r="J192" s="6"/>
      <c r="K192" s="5"/>
      <c r="L192" s="1"/>
    </row>
    <row r="193" spans="1:12" x14ac:dyDescent="0.35">
      <c r="A193" s="5"/>
      <c r="B193" s="5"/>
      <c r="C193" s="5"/>
      <c r="D193" s="5"/>
      <c r="E193" s="5"/>
      <c r="F193" s="5"/>
      <c r="G193" s="5"/>
      <c r="H193" s="5"/>
      <c r="I193" s="6"/>
      <c r="J193" s="6"/>
      <c r="K193" s="5"/>
      <c r="L193" s="1"/>
    </row>
    <row r="194" spans="1:12" x14ac:dyDescent="0.35">
      <c r="A194" s="5"/>
      <c r="B194" s="5"/>
      <c r="C194" s="5"/>
      <c r="D194" s="5"/>
      <c r="E194" s="5"/>
      <c r="F194" s="5"/>
      <c r="G194" s="5"/>
      <c r="H194" s="5"/>
      <c r="I194" s="6"/>
      <c r="J194" s="6"/>
      <c r="K194" s="5"/>
      <c r="L194" s="1"/>
    </row>
    <row r="195" spans="1:12" x14ac:dyDescent="0.35">
      <c r="A195" s="5"/>
      <c r="B195" s="5"/>
      <c r="C195" s="5"/>
      <c r="D195" s="5"/>
      <c r="E195" s="5"/>
      <c r="F195" s="5"/>
      <c r="G195" s="5"/>
      <c r="H195" s="5"/>
      <c r="I195" s="6"/>
      <c r="J195" s="6"/>
      <c r="K195" s="5"/>
      <c r="L195" s="1"/>
    </row>
    <row r="196" spans="1:12" x14ac:dyDescent="0.35">
      <c r="A196" s="5"/>
      <c r="B196" s="5"/>
      <c r="C196" s="5"/>
      <c r="D196" s="5"/>
      <c r="E196" s="5"/>
      <c r="F196" s="5"/>
      <c r="G196" s="5"/>
      <c r="H196" s="5"/>
      <c r="I196" s="6"/>
      <c r="J196" s="6"/>
      <c r="K196" s="5"/>
      <c r="L196" s="1"/>
    </row>
    <row r="197" spans="1:12" x14ac:dyDescent="0.35">
      <c r="A197" s="5"/>
      <c r="B197" s="5"/>
      <c r="C197" s="5"/>
      <c r="D197" s="5"/>
      <c r="E197" s="5"/>
      <c r="F197" s="5"/>
      <c r="G197" s="5"/>
      <c r="H197" s="5"/>
      <c r="I197" s="6"/>
      <c r="J197" s="6"/>
      <c r="K197" s="5"/>
      <c r="L197" s="1"/>
    </row>
    <row r="198" spans="1:12" x14ac:dyDescent="0.35">
      <c r="A198" s="5"/>
      <c r="B198" s="5"/>
      <c r="C198" s="5"/>
      <c r="D198" s="5"/>
      <c r="E198" s="5"/>
      <c r="F198" s="5"/>
      <c r="G198" s="5"/>
      <c r="H198" s="5"/>
      <c r="I198" s="6"/>
      <c r="J198" s="6"/>
      <c r="K198" s="5"/>
      <c r="L198" s="1"/>
    </row>
    <row r="199" spans="1:12" x14ac:dyDescent="0.35">
      <c r="A199" s="5"/>
      <c r="B199" s="5"/>
      <c r="C199" s="5"/>
      <c r="D199" s="5"/>
      <c r="E199" s="5"/>
      <c r="F199" s="5"/>
      <c r="G199" s="5"/>
      <c r="H199" s="5"/>
      <c r="I199" s="6"/>
      <c r="J199" s="6"/>
      <c r="K199" s="5"/>
      <c r="L199" s="1"/>
    </row>
    <row r="200" spans="1:12" x14ac:dyDescent="0.35">
      <c r="A200" s="5"/>
      <c r="B200" s="5"/>
      <c r="C200" s="5"/>
      <c r="D200" s="5"/>
      <c r="E200" s="5"/>
      <c r="F200" s="5"/>
      <c r="G200" s="5"/>
      <c r="H200" s="5"/>
      <c r="I200" s="6"/>
      <c r="J200" s="6"/>
      <c r="K200" s="5"/>
      <c r="L200" s="1"/>
    </row>
    <row r="201" spans="1:12" x14ac:dyDescent="0.35">
      <c r="A201" s="5"/>
      <c r="B201" s="5"/>
      <c r="C201" s="5"/>
      <c r="D201" s="5"/>
      <c r="E201" s="5"/>
      <c r="F201" s="5"/>
      <c r="G201" s="5"/>
      <c r="H201" s="5"/>
      <c r="I201" s="6"/>
      <c r="J201" s="6"/>
      <c r="K201" s="5"/>
      <c r="L201" s="1"/>
    </row>
    <row r="202" spans="1:12" x14ac:dyDescent="0.35">
      <c r="A202" s="5"/>
      <c r="B202" s="5"/>
      <c r="C202" s="5"/>
      <c r="D202" s="5"/>
      <c r="E202" s="5"/>
      <c r="F202" s="5"/>
      <c r="G202" s="5"/>
      <c r="H202" s="5"/>
      <c r="I202" s="6"/>
      <c r="J202" s="6"/>
      <c r="K202" s="5"/>
      <c r="L202" s="1"/>
    </row>
    <row r="203" spans="1:12" x14ac:dyDescent="0.35">
      <c r="A203" s="5"/>
      <c r="B203" s="5"/>
      <c r="C203" s="5"/>
      <c r="D203" s="5"/>
      <c r="E203" s="5"/>
      <c r="F203" s="5"/>
      <c r="G203" s="5"/>
      <c r="H203" s="5"/>
      <c r="I203" s="6"/>
      <c r="J203" s="6"/>
      <c r="K203" s="5"/>
      <c r="L203" s="1"/>
    </row>
    <row r="204" spans="1:1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</sheetData>
  <mergeCells count="1"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Catalogos!$B$4:$B$7</xm:f>
          </x14:formula1>
          <xm:sqref>E4:E203</xm:sqref>
        </x14:dataValidation>
        <x14:dataValidation type="list" xr:uid="{00000000-0002-0000-0200-000001000000}">
          <x14:formula1>
            <xm:f>Catalogos!$A$4:$A$7</xm:f>
          </x14:formula1>
          <xm:sqref>H4:H203</xm:sqref>
        </x14:dataValidation>
        <x14:dataValidation type="list" xr:uid="{00000000-0002-0000-0200-000002000000}">
          <x14:formula1>
            <xm:f>Catalogos!$F$4:$F$7</xm:f>
          </x14:formula1>
          <xm:sqref>K4:K203</xm:sqref>
        </x14:dataValidation>
        <x14:dataValidation type="list" allowBlank="1" showInputMessage="1" showErrorMessage="1" xr:uid="{441F4D06-D834-43AE-A93F-466B87C1C701}">
          <x14:formula1>
            <xm:f>Catalogos!$G$4:$G$5</xm:f>
          </x14:formula1>
          <xm:sqref>F4:F1048576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3"/>
  <sheetViews>
    <sheetView showGridLines="0" workbookViewId="0">
      <pane ySplit="3" topLeftCell="A4" activePane="bottomLeft" state="frozen"/>
      <selection pane="bottomLeft" activeCell="G9" sqref="G9"/>
    </sheetView>
  </sheetViews>
  <sheetFormatPr baseColWidth="10" defaultColWidth="8.7265625" defaultRowHeight="14.5" x14ac:dyDescent="0.35"/>
  <cols>
    <col min="1" max="1" width="18" customWidth="1"/>
    <col min="2" max="3" width="14" customWidth="1"/>
    <col min="4" max="4" width="12" customWidth="1"/>
    <col min="5" max="5" width="13" customWidth="1"/>
    <col min="6" max="8" width="18" customWidth="1"/>
    <col min="9" max="9" width="14" customWidth="1"/>
    <col min="10" max="10" width="28" customWidth="1"/>
  </cols>
  <sheetData>
    <row r="1" spans="1:10" ht="22" customHeight="1" x14ac:dyDescent="0.35">
      <c r="A1" s="15" t="s">
        <v>82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</row>
    <row r="3" spans="1:10" x14ac:dyDescent="0.35">
      <c r="A3" s="3" t="s">
        <v>48</v>
      </c>
      <c r="B3" s="3" t="s">
        <v>49</v>
      </c>
      <c r="C3" s="3" t="s">
        <v>52</v>
      </c>
      <c r="D3" s="3" t="s">
        <v>55</v>
      </c>
      <c r="E3" s="3" t="s">
        <v>57</v>
      </c>
      <c r="F3" s="3" t="s">
        <v>58</v>
      </c>
      <c r="G3" s="3" t="s">
        <v>83</v>
      </c>
      <c r="H3" s="3" t="s">
        <v>84</v>
      </c>
      <c r="I3" s="3" t="s">
        <v>85</v>
      </c>
      <c r="J3" s="3" t="s">
        <v>86</v>
      </c>
    </row>
    <row r="4" spans="1:10" x14ac:dyDescent="0.35">
      <c r="A4" s="7" t="str">
        <f>IF(Registro_Contenedores!A4="","",Registro_Contenedores!A4)</f>
        <v>MSCU4510021</v>
      </c>
      <c r="B4" s="7" t="str">
        <f>IF($A4="","",Registro_Contenedores!B4)</f>
        <v>PED-260401</v>
      </c>
      <c r="C4" s="7" t="str">
        <f>IF($A4="","",Registro_Contenedores!E4)</f>
        <v>MSC</v>
      </c>
      <c r="D4" s="7" t="str">
        <f>IF($A4="","",Registro_Contenedores!H4)</f>
        <v>CGSA</v>
      </c>
      <c r="E4" s="7">
        <f>IF($A4="","",Registro_Contenedores!J4)</f>
        <v>46127</v>
      </c>
      <c r="F4" s="7" t="str">
        <f>IF($A4="","",Registro_Contenedores!K4)</f>
        <v>MEDLOG</v>
      </c>
      <c r="G4" s="6">
        <v>46119</v>
      </c>
      <c r="H4" s="5" t="s">
        <v>26</v>
      </c>
      <c r="I4" s="8" t="s">
        <v>87</v>
      </c>
      <c r="J4" s="9" t="s">
        <v>88</v>
      </c>
    </row>
    <row r="5" spans="1:10" x14ac:dyDescent="0.35">
      <c r="A5" s="7" t="str">
        <f>IF(Registro_Contenedores!A5="","",Registro_Contenedores!A5)</f>
        <v>CMAU3381450</v>
      </c>
      <c r="B5" s="7" t="str">
        <f>IF($A5="","",Registro_Contenedores!B5)</f>
        <v>PED-260402</v>
      </c>
      <c r="C5" s="7" t="str">
        <f>IF($A5="","",Registro_Contenedores!E5)</f>
        <v>CMA CGM</v>
      </c>
      <c r="D5" s="7" t="str">
        <f>IF($A5="","",Registro_Contenedores!H5)</f>
        <v>NAPORTEC</v>
      </c>
      <c r="E5" s="7">
        <f>IF($A5="","",Registro_Contenedores!J5)</f>
        <v>46126</v>
      </c>
      <c r="F5" s="7" t="str">
        <f>IF($A5="","",Registro_Contenedores!K5)</f>
        <v>BLASTI</v>
      </c>
      <c r="G5" s="6">
        <v>46120</v>
      </c>
      <c r="H5" s="5" t="s">
        <v>32</v>
      </c>
      <c r="I5" s="8" t="s">
        <v>89</v>
      </c>
      <c r="J5" s="9"/>
    </row>
    <row r="6" spans="1:10" x14ac:dyDescent="0.35">
      <c r="A6" s="7" t="str">
        <f>IF(Registro_Contenedores!A6="","",Registro_Contenedores!A6)</f>
        <v>MSCU4102298</v>
      </c>
      <c r="B6" s="7" t="str">
        <f>IF($A6="","",Registro_Contenedores!B6)</f>
        <v>PED-260403</v>
      </c>
      <c r="C6" s="7" t="str">
        <f>IF($A6="","",Registro_Contenedores!E6)</f>
        <v>MSC</v>
      </c>
      <c r="D6" s="7" t="str">
        <f>IF($A6="","",Registro_Contenedores!H6)</f>
        <v>TPG</v>
      </c>
      <c r="E6" s="7">
        <f>IF($A6="","",Registro_Contenedores!J6)</f>
        <v>46128</v>
      </c>
      <c r="F6" s="7" t="str">
        <f>IF($A6="","",Registro_Contenedores!K6)</f>
        <v>RFS</v>
      </c>
      <c r="G6" s="6">
        <v>46121</v>
      </c>
      <c r="H6" s="5" t="s">
        <v>37</v>
      </c>
      <c r="I6" s="8" t="s">
        <v>90</v>
      </c>
      <c r="J6" s="9" t="s">
        <v>91</v>
      </c>
    </row>
    <row r="7" spans="1:10" x14ac:dyDescent="0.35">
      <c r="A7" s="7" t="str">
        <f>IF(Registro_Contenedores!A7="","",Registro_Contenedores!A7)</f>
        <v>MAEU9928113</v>
      </c>
      <c r="B7" s="7" t="str">
        <f>IF($A7="","",Registro_Contenedores!B7)</f>
        <v>PED-260404</v>
      </c>
      <c r="C7" s="7" t="str">
        <f>IF($A7="","",Registro_Contenedores!E7)</f>
        <v>MAERSK</v>
      </c>
      <c r="D7" s="7" t="str">
        <f>IF($A7="","",Registro_Contenedores!H7)</f>
        <v>POSORJA</v>
      </c>
      <c r="E7" s="7">
        <f>IF($A7="","",Registro_Contenedores!J7)</f>
        <v>46130</v>
      </c>
      <c r="F7" s="7" t="str">
        <f>IF($A7="","",Registro_Contenedores!K7)</f>
        <v>CONTECON VACIOS</v>
      </c>
      <c r="G7" s="6">
        <v>46122</v>
      </c>
      <c r="H7" s="5" t="s">
        <v>42</v>
      </c>
      <c r="I7" s="8" t="s">
        <v>92</v>
      </c>
      <c r="J7" s="9"/>
    </row>
    <row r="8" spans="1:10" x14ac:dyDescent="0.35">
      <c r="A8" s="7" t="str">
        <f>IF(Registro_Contenedores!A8="","",Registro_Contenedores!A8)</f>
        <v>HLBU5543219</v>
      </c>
      <c r="B8" s="7" t="str">
        <f>IF($A8="","",Registro_Contenedores!B8)</f>
        <v>PED-260405</v>
      </c>
      <c r="C8" s="7" t="str">
        <f>IF($A8="","",Registro_Contenedores!E8)</f>
        <v>HALO</v>
      </c>
      <c r="D8" s="7" t="str">
        <f>IF($A8="","",Registro_Contenedores!H8)</f>
        <v>CGSA</v>
      </c>
      <c r="E8" s="7">
        <f>IF($A8="","",Registro_Contenedores!J8)</f>
        <v>46131</v>
      </c>
      <c r="F8" s="7" t="str">
        <f>IF($A8="","",Registro_Contenedores!K8)</f>
        <v>MEDLOG</v>
      </c>
      <c r="G8" s="6">
        <v>46123</v>
      </c>
      <c r="H8" s="5" t="s">
        <v>26</v>
      </c>
      <c r="I8" s="8" t="s">
        <v>93</v>
      </c>
      <c r="J8" s="9" t="s">
        <v>94</v>
      </c>
    </row>
    <row r="9" spans="1:10" x14ac:dyDescent="0.35">
      <c r="A9" s="7" t="str">
        <f>IF(Registro_Contenedores!A9="","",Registro_Contenedores!A9)</f>
        <v/>
      </c>
      <c r="B9" s="7" t="str">
        <f>IF($A9="","",Registro_Contenedores!B9)</f>
        <v/>
      </c>
      <c r="C9" s="7" t="str">
        <f>IF($A9="","",Registro_Contenedores!E9)</f>
        <v/>
      </c>
      <c r="D9" s="7" t="str">
        <f>IF($A9="","",Registro_Contenedores!H9)</f>
        <v/>
      </c>
      <c r="E9" s="7" t="str">
        <f>IF($A9="","",Registro_Contenedores!J9)</f>
        <v/>
      </c>
      <c r="F9" s="7" t="str">
        <f>IF($A9="","",Registro_Contenedores!K9)</f>
        <v/>
      </c>
      <c r="G9" s="5"/>
      <c r="H9" s="5"/>
      <c r="I9" s="5"/>
      <c r="J9" s="9"/>
    </row>
    <row r="10" spans="1:10" x14ac:dyDescent="0.35">
      <c r="A10" s="7" t="str">
        <f>IF(Registro_Contenedores!A10="","",Registro_Contenedores!A10)</f>
        <v/>
      </c>
      <c r="B10" s="7" t="str">
        <f>IF($A10="","",Registro_Contenedores!B10)</f>
        <v/>
      </c>
      <c r="C10" s="7" t="str">
        <f>IF($A10="","",Registro_Contenedores!E10)</f>
        <v/>
      </c>
      <c r="D10" s="7" t="str">
        <f>IF($A10="","",Registro_Contenedores!H10)</f>
        <v/>
      </c>
      <c r="E10" s="7" t="str">
        <f>IF($A10="","",Registro_Contenedores!J10)</f>
        <v/>
      </c>
      <c r="F10" s="7" t="str">
        <f>IF($A10="","",Registro_Contenedores!K10)</f>
        <v/>
      </c>
      <c r="G10" s="5"/>
      <c r="H10" s="5"/>
      <c r="I10" s="5"/>
      <c r="J10" s="9"/>
    </row>
    <row r="11" spans="1:10" x14ac:dyDescent="0.35">
      <c r="A11" s="7" t="str">
        <f>IF(Registro_Contenedores!A11="","",Registro_Contenedores!A11)</f>
        <v/>
      </c>
      <c r="B11" s="7" t="str">
        <f>IF($A11="","",Registro_Contenedores!B11)</f>
        <v/>
      </c>
      <c r="C11" s="7" t="str">
        <f>IF($A11="","",Registro_Contenedores!E11)</f>
        <v/>
      </c>
      <c r="D11" s="7" t="str">
        <f>IF($A11="","",Registro_Contenedores!H11)</f>
        <v/>
      </c>
      <c r="E11" s="7" t="str">
        <f>IF($A11="","",Registro_Contenedores!J11)</f>
        <v/>
      </c>
      <c r="F11" s="7" t="str">
        <f>IF($A11="","",Registro_Contenedores!K11)</f>
        <v/>
      </c>
      <c r="G11" s="5"/>
      <c r="H11" s="5"/>
      <c r="I11" s="5"/>
      <c r="J11" s="9"/>
    </row>
    <row r="12" spans="1:10" x14ac:dyDescent="0.35">
      <c r="A12" s="7" t="str">
        <f>IF(Registro_Contenedores!A12="","",Registro_Contenedores!A12)</f>
        <v/>
      </c>
      <c r="B12" s="7" t="str">
        <f>IF($A12="","",Registro_Contenedores!B12)</f>
        <v/>
      </c>
      <c r="C12" s="7" t="str">
        <f>IF($A12="","",Registro_Contenedores!E12)</f>
        <v/>
      </c>
      <c r="D12" s="7" t="str">
        <f>IF($A12="","",Registro_Contenedores!H12)</f>
        <v/>
      </c>
      <c r="E12" s="7" t="str">
        <f>IF($A12="","",Registro_Contenedores!J12)</f>
        <v/>
      </c>
      <c r="F12" s="7" t="str">
        <f>IF($A12="","",Registro_Contenedores!K12)</f>
        <v/>
      </c>
      <c r="G12" s="5"/>
      <c r="H12" s="5"/>
      <c r="I12" s="5"/>
      <c r="J12" s="9"/>
    </row>
    <row r="13" spans="1:10" x14ac:dyDescent="0.35">
      <c r="A13" s="7" t="str">
        <f>IF(Registro_Contenedores!A13="","",Registro_Contenedores!A13)</f>
        <v/>
      </c>
      <c r="B13" s="7" t="str">
        <f>IF($A13="","",Registro_Contenedores!B13)</f>
        <v/>
      </c>
      <c r="C13" s="7" t="str">
        <f>IF($A13="","",Registro_Contenedores!E13)</f>
        <v/>
      </c>
      <c r="D13" s="7" t="str">
        <f>IF($A13="","",Registro_Contenedores!H13)</f>
        <v/>
      </c>
      <c r="E13" s="7" t="str">
        <f>IF($A13="","",Registro_Contenedores!J13)</f>
        <v/>
      </c>
      <c r="F13" s="7" t="str">
        <f>IF($A13="","",Registro_Contenedores!K13)</f>
        <v/>
      </c>
      <c r="G13" s="5"/>
      <c r="H13" s="5"/>
      <c r="I13" s="5"/>
      <c r="J13" s="9"/>
    </row>
    <row r="14" spans="1:10" x14ac:dyDescent="0.35">
      <c r="A14" s="7" t="str">
        <f>IF(Registro_Contenedores!A14="","",Registro_Contenedores!A14)</f>
        <v/>
      </c>
      <c r="B14" s="7" t="str">
        <f>IF($A14="","",Registro_Contenedores!B14)</f>
        <v/>
      </c>
      <c r="C14" s="7" t="str">
        <f>IF($A14="","",Registro_Contenedores!E14)</f>
        <v/>
      </c>
      <c r="D14" s="7" t="str">
        <f>IF($A14="","",Registro_Contenedores!H14)</f>
        <v/>
      </c>
      <c r="E14" s="7" t="str">
        <f>IF($A14="","",Registro_Contenedores!J14)</f>
        <v/>
      </c>
      <c r="F14" s="7" t="str">
        <f>IF($A14="","",Registro_Contenedores!K14)</f>
        <v/>
      </c>
      <c r="G14" s="5"/>
      <c r="H14" s="5"/>
      <c r="I14" s="5"/>
      <c r="J14" s="9"/>
    </row>
    <row r="15" spans="1:10" x14ac:dyDescent="0.35">
      <c r="A15" s="7" t="str">
        <f>IF(Registro_Contenedores!A15="","",Registro_Contenedores!A15)</f>
        <v/>
      </c>
      <c r="B15" s="7" t="str">
        <f>IF($A15="","",Registro_Contenedores!B15)</f>
        <v/>
      </c>
      <c r="C15" s="7" t="str">
        <f>IF($A15="","",Registro_Contenedores!E15)</f>
        <v/>
      </c>
      <c r="D15" s="7" t="str">
        <f>IF($A15="","",Registro_Contenedores!H15)</f>
        <v/>
      </c>
      <c r="E15" s="7" t="str">
        <f>IF($A15="","",Registro_Contenedores!J15)</f>
        <v/>
      </c>
      <c r="F15" s="7" t="str">
        <f>IF($A15="","",Registro_Contenedores!K15)</f>
        <v/>
      </c>
      <c r="G15" s="5"/>
      <c r="H15" s="5"/>
      <c r="I15" s="5"/>
      <c r="J15" s="9"/>
    </row>
    <row r="16" spans="1:10" x14ac:dyDescent="0.35">
      <c r="A16" s="7" t="str">
        <f>IF(Registro_Contenedores!A16="","",Registro_Contenedores!A16)</f>
        <v/>
      </c>
      <c r="B16" s="7" t="str">
        <f>IF($A16="","",Registro_Contenedores!B16)</f>
        <v/>
      </c>
      <c r="C16" s="7" t="str">
        <f>IF($A16="","",Registro_Contenedores!E16)</f>
        <v/>
      </c>
      <c r="D16" s="7" t="str">
        <f>IF($A16="","",Registro_Contenedores!H16)</f>
        <v/>
      </c>
      <c r="E16" s="7" t="str">
        <f>IF($A16="","",Registro_Contenedores!J16)</f>
        <v/>
      </c>
      <c r="F16" s="7" t="str">
        <f>IF($A16="","",Registro_Contenedores!K16)</f>
        <v/>
      </c>
      <c r="G16" s="5"/>
      <c r="H16" s="5"/>
      <c r="I16" s="5"/>
      <c r="J16" s="9"/>
    </row>
    <row r="17" spans="1:10" x14ac:dyDescent="0.35">
      <c r="A17" s="7" t="str">
        <f>IF(Registro_Contenedores!A17="","",Registro_Contenedores!A17)</f>
        <v/>
      </c>
      <c r="B17" s="7" t="str">
        <f>IF($A17="","",Registro_Contenedores!B17)</f>
        <v/>
      </c>
      <c r="C17" s="7" t="str">
        <f>IF($A17="","",Registro_Contenedores!E17)</f>
        <v/>
      </c>
      <c r="D17" s="7" t="str">
        <f>IF($A17="","",Registro_Contenedores!H17)</f>
        <v/>
      </c>
      <c r="E17" s="7" t="str">
        <f>IF($A17="","",Registro_Contenedores!J17)</f>
        <v/>
      </c>
      <c r="F17" s="7" t="str">
        <f>IF($A17="","",Registro_Contenedores!K17)</f>
        <v/>
      </c>
      <c r="G17" s="5"/>
      <c r="H17" s="5"/>
      <c r="I17" s="5"/>
      <c r="J17" s="9"/>
    </row>
    <row r="18" spans="1:10" x14ac:dyDescent="0.35">
      <c r="A18" s="7" t="str">
        <f>IF(Registro_Contenedores!A18="","",Registro_Contenedores!A18)</f>
        <v/>
      </c>
      <c r="B18" s="7" t="str">
        <f>IF($A18="","",Registro_Contenedores!B18)</f>
        <v/>
      </c>
      <c r="C18" s="7" t="str">
        <f>IF($A18="","",Registro_Contenedores!E18)</f>
        <v/>
      </c>
      <c r="D18" s="7" t="str">
        <f>IF($A18="","",Registro_Contenedores!H18)</f>
        <v/>
      </c>
      <c r="E18" s="7" t="str">
        <f>IF($A18="","",Registro_Contenedores!J18)</f>
        <v/>
      </c>
      <c r="F18" s="7" t="str">
        <f>IF($A18="","",Registro_Contenedores!K18)</f>
        <v/>
      </c>
      <c r="G18" s="5"/>
      <c r="H18" s="5"/>
      <c r="I18" s="5"/>
      <c r="J18" s="9"/>
    </row>
    <row r="19" spans="1:10" x14ac:dyDescent="0.35">
      <c r="A19" s="7" t="str">
        <f>IF(Registro_Contenedores!A19="","",Registro_Contenedores!A19)</f>
        <v/>
      </c>
      <c r="B19" s="7" t="str">
        <f>IF($A19="","",Registro_Contenedores!B19)</f>
        <v/>
      </c>
      <c r="C19" s="7" t="str">
        <f>IF($A19="","",Registro_Contenedores!E19)</f>
        <v/>
      </c>
      <c r="D19" s="7" t="str">
        <f>IF($A19="","",Registro_Contenedores!H19)</f>
        <v/>
      </c>
      <c r="E19" s="7" t="str">
        <f>IF($A19="","",Registro_Contenedores!J19)</f>
        <v/>
      </c>
      <c r="F19" s="7" t="str">
        <f>IF($A19="","",Registro_Contenedores!K19)</f>
        <v/>
      </c>
      <c r="G19" s="5"/>
      <c r="H19" s="5"/>
      <c r="I19" s="5"/>
      <c r="J19" s="9"/>
    </row>
    <row r="20" spans="1:10" x14ac:dyDescent="0.35">
      <c r="A20" s="7" t="str">
        <f>IF(Registro_Contenedores!A20="","",Registro_Contenedores!A20)</f>
        <v/>
      </c>
      <c r="B20" s="7" t="str">
        <f>IF($A20="","",Registro_Contenedores!B20)</f>
        <v/>
      </c>
      <c r="C20" s="7" t="str">
        <f>IF($A20="","",Registro_Contenedores!E20)</f>
        <v/>
      </c>
      <c r="D20" s="7" t="str">
        <f>IF($A20="","",Registro_Contenedores!H20)</f>
        <v/>
      </c>
      <c r="E20" s="7" t="str">
        <f>IF($A20="","",Registro_Contenedores!J20)</f>
        <v/>
      </c>
      <c r="F20" s="7" t="str">
        <f>IF($A20="","",Registro_Contenedores!K20)</f>
        <v/>
      </c>
      <c r="G20" s="5"/>
      <c r="H20" s="5"/>
      <c r="I20" s="5"/>
      <c r="J20" s="9"/>
    </row>
    <row r="21" spans="1:10" x14ac:dyDescent="0.35">
      <c r="A21" s="7" t="str">
        <f>IF(Registro_Contenedores!A21="","",Registro_Contenedores!A21)</f>
        <v/>
      </c>
      <c r="B21" s="7" t="str">
        <f>IF($A21="","",Registro_Contenedores!B21)</f>
        <v/>
      </c>
      <c r="C21" s="7" t="str">
        <f>IF($A21="","",Registro_Contenedores!E21)</f>
        <v/>
      </c>
      <c r="D21" s="7" t="str">
        <f>IF($A21="","",Registro_Contenedores!H21)</f>
        <v/>
      </c>
      <c r="E21" s="7" t="str">
        <f>IF($A21="","",Registro_Contenedores!J21)</f>
        <v/>
      </c>
      <c r="F21" s="7" t="str">
        <f>IF($A21="","",Registro_Contenedores!K21)</f>
        <v/>
      </c>
      <c r="G21" s="5"/>
      <c r="H21" s="5"/>
      <c r="I21" s="5"/>
      <c r="J21" s="9"/>
    </row>
    <row r="22" spans="1:10" x14ac:dyDescent="0.35">
      <c r="A22" s="7" t="str">
        <f>IF(Registro_Contenedores!A22="","",Registro_Contenedores!A22)</f>
        <v/>
      </c>
      <c r="B22" s="7" t="str">
        <f>IF($A22="","",Registro_Contenedores!B22)</f>
        <v/>
      </c>
      <c r="C22" s="7" t="str">
        <f>IF($A22="","",Registro_Contenedores!E22)</f>
        <v/>
      </c>
      <c r="D22" s="7" t="str">
        <f>IF($A22="","",Registro_Contenedores!H22)</f>
        <v/>
      </c>
      <c r="E22" s="7" t="str">
        <f>IF($A22="","",Registro_Contenedores!J22)</f>
        <v/>
      </c>
      <c r="F22" s="7" t="str">
        <f>IF($A22="","",Registro_Contenedores!K22)</f>
        <v/>
      </c>
      <c r="G22" s="5"/>
      <c r="H22" s="5"/>
      <c r="I22" s="5"/>
      <c r="J22" s="9"/>
    </row>
    <row r="23" spans="1:10" x14ac:dyDescent="0.35">
      <c r="A23" s="7" t="str">
        <f>IF(Registro_Contenedores!A23="","",Registro_Contenedores!A23)</f>
        <v/>
      </c>
      <c r="B23" s="7" t="str">
        <f>IF($A23="","",Registro_Contenedores!B23)</f>
        <v/>
      </c>
      <c r="C23" s="7" t="str">
        <f>IF($A23="","",Registro_Contenedores!E23)</f>
        <v/>
      </c>
      <c r="D23" s="7" t="str">
        <f>IF($A23="","",Registro_Contenedores!H23)</f>
        <v/>
      </c>
      <c r="E23" s="7" t="str">
        <f>IF($A23="","",Registro_Contenedores!J23)</f>
        <v/>
      </c>
      <c r="F23" s="7" t="str">
        <f>IF($A23="","",Registro_Contenedores!K23)</f>
        <v/>
      </c>
      <c r="G23" s="5"/>
      <c r="H23" s="5"/>
      <c r="I23" s="5"/>
      <c r="J23" s="9"/>
    </row>
    <row r="24" spans="1:10" x14ac:dyDescent="0.35">
      <c r="A24" s="7" t="str">
        <f>IF(Registro_Contenedores!A24="","",Registro_Contenedores!A24)</f>
        <v/>
      </c>
      <c r="B24" s="7" t="str">
        <f>IF($A24="","",Registro_Contenedores!B24)</f>
        <v/>
      </c>
      <c r="C24" s="7" t="str">
        <f>IF($A24="","",Registro_Contenedores!E24)</f>
        <v/>
      </c>
      <c r="D24" s="7" t="str">
        <f>IF($A24="","",Registro_Contenedores!H24)</f>
        <v/>
      </c>
      <c r="E24" s="7" t="str">
        <f>IF($A24="","",Registro_Contenedores!J24)</f>
        <v/>
      </c>
      <c r="F24" s="7" t="str">
        <f>IF($A24="","",Registro_Contenedores!K24)</f>
        <v/>
      </c>
      <c r="G24" s="5"/>
      <c r="H24" s="5"/>
      <c r="I24" s="5"/>
      <c r="J24" s="9"/>
    </row>
    <row r="25" spans="1:10" x14ac:dyDescent="0.35">
      <c r="A25" s="7" t="str">
        <f>IF(Registro_Contenedores!A25="","",Registro_Contenedores!A25)</f>
        <v/>
      </c>
      <c r="B25" s="7" t="str">
        <f>IF($A25="","",Registro_Contenedores!B25)</f>
        <v/>
      </c>
      <c r="C25" s="7" t="str">
        <f>IF($A25="","",Registro_Contenedores!E25)</f>
        <v/>
      </c>
      <c r="D25" s="7" t="str">
        <f>IF($A25="","",Registro_Contenedores!H25)</f>
        <v/>
      </c>
      <c r="E25" s="7" t="str">
        <f>IF($A25="","",Registro_Contenedores!J25)</f>
        <v/>
      </c>
      <c r="F25" s="7" t="str">
        <f>IF($A25="","",Registro_Contenedores!K25)</f>
        <v/>
      </c>
      <c r="G25" s="5"/>
      <c r="H25" s="5"/>
      <c r="I25" s="5"/>
      <c r="J25" s="9"/>
    </row>
    <row r="26" spans="1:10" x14ac:dyDescent="0.35">
      <c r="A26" s="7" t="str">
        <f>IF(Registro_Contenedores!A26="","",Registro_Contenedores!A26)</f>
        <v/>
      </c>
      <c r="B26" s="7" t="str">
        <f>IF($A26="","",Registro_Contenedores!B26)</f>
        <v/>
      </c>
      <c r="C26" s="7" t="str">
        <f>IF($A26="","",Registro_Contenedores!E26)</f>
        <v/>
      </c>
      <c r="D26" s="7" t="str">
        <f>IF($A26="","",Registro_Contenedores!H26)</f>
        <v/>
      </c>
      <c r="E26" s="7" t="str">
        <f>IF($A26="","",Registro_Contenedores!J26)</f>
        <v/>
      </c>
      <c r="F26" s="7" t="str">
        <f>IF($A26="","",Registro_Contenedores!K26)</f>
        <v/>
      </c>
      <c r="G26" s="5"/>
      <c r="H26" s="5"/>
      <c r="I26" s="5"/>
      <c r="J26" s="9"/>
    </row>
    <row r="27" spans="1:10" x14ac:dyDescent="0.35">
      <c r="A27" s="7" t="str">
        <f>IF(Registro_Contenedores!A27="","",Registro_Contenedores!A27)</f>
        <v/>
      </c>
      <c r="B27" s="7" t="str">
        <f>IF($A27="","",Registro_Contenedores!B27)</f>
        <v/>
      </c>
      <c r="C27" s="7" t="str">
        <f>IF($A27="","",Registro_Contenedores!E27)</f>
        <v/>
      </c>
      <c r="D27" s="7" t="str">
        <f>IF($A27="","",Registro_Contenedores!H27)</f>
        <v/>
      </c>
      <c r="E27" s="7" t="str">
        <f>IF($A27="","",Registro_Contenedores!J27)</f>
        <v/>
      </c>
      <c r="F27" s="7" t="str">
        <f>IF($A27="","",Registro_Contenedores!K27)</f>
        <v/>
      </c>
      <c r="G27" s="5"/>
      <c r="H27" s="5"/>
      <c r="I27" s="5"/>
      <c r="J27" s="9"/>
    </row>
    <row r="28" spans="1:10" x14ac:dyDescent="0.35">
      <c r="A28" s="7" t="str">
        <f>IF(Registro_Contenedores!A28="","",Registro_Contenedores!A28)</f>
        <v/>
      </c>
      <c r="B28" s="7" t="str">
        <f>IF($A28="","",Registro_Contenedores!B28)</f>
        <v/>
      </c>
      <c r="C28" s="7" t="str">
        <f>IF($A28="","",Registro_Contenedores!E28)</f>
        <v/>
      </c>
      <c r="D28" s="7" t="str">
        <f>IF($A28="","",Registro_Contenedores!H28)</f>
        <v/>
      </c>
      <c r="E28" s="7" t="str">
        <f>IF($A28="","",Registro_Contenedores!J28)</f>
        <v/>
      </c>
      <c r="F28" s="7" t="str">
        <f>IF($A28="","",Registro_Contenedores!K28)</f>
        <v/>
      </c>
      <c r="G28" s="5"/>
      <c r="H28" s="5"/>
      <c r="I28" s="5"/>
      <c r="J28" s="9"/>
    </row>
    <row r="29" spans="1:10" x14ac:dyDescent="0.35">
      <c r="A29" s="7" t="str">
        <f>IF(Registro_Contenedores!A29="","",Registro_Contenedores!A29)</f>
        <v/>
      </c>
      <c r="B29" s="7" t="str">
        <f>IF($A29="","",Registro_Contenedores!B29)</f>
        <v/>
      </c>
      <c r="C29" s="7" t="str">
        <f>IF($A29="","",Registro_Contenedores!E29)</f>
        <v/>
      </c>
      <c r="D29" s="7" t="str">
        <f>IF($A29="","",Registro_Contenedores!H29)</f>
        <v/>
      </c>
      <c r="E29" s="7" t="str">
        <f>IF($A29="","",Registro_Contenedores!J29)</f>
        <v/>
      </c>
      <c r="F29" s="7" t="str">
        <f>IF($A29="","",Registro_Contenedores!K29)</f>
        <v/>
      </c>
      <c r="G29" s="5"/>
      <c r="H29" s="5"/>
      <c r="I29" s="5"/>
      <c r="J29" s="9"/>
    </row>
    <row r="30" spans="1:10" x14ac:dyDescent="0.35">
      <c r="A30" s="7" t="str">
        <f>IF(Registro_Contenedores!A30="","",Registro_Contenedores!A30)</f>
        <v/>
      </c>
      <c r="B30" s="7" t="str">
        <f>IF($A30="","",Registro_Contenedores!B30)</f>
        <v/>
      </c>
      <c r="C30" s="7" t="str">
        <f>IF($A30="","",Registro_Contenedores!E30)</f>
        <v/>
      </c>
      <c r="D30" s="7" t="str">
        <f>IF($A30="","",Registro_Contenedores!H30)</f>
        <v/>
      </c>
      <c r="E30" s="7" t="str">
        <f>IF($A30="","",Registro_Contenedores!J30)</f>
        <v/>
      </c>
      <c r="F30" s="7" t="str">
        <f>IF($A30="","",Registro_Contenedores!K30)</f>
        <v/>
      </c>
      <c r="G30" s="5"/>
      <c r="H30" s="5"/>
      <c r="I30" s="5"/>
      <c r="J30" s="9"/>
    </row>
    <row r="31" spans="1:10" x14ac:dyDescent="0.35">
      <c r="A31" s="7" t="str">
        <f>IF(Registro_Contenedores!A31="","",Registro_Contenedores!A31)</f>
        <v/>
      </c>
      <c r="B31" s="7" t="str">
        <f>IF($A31="","",Registro_Contenedores!B31)</f>
        <v/>
      </c>
      <c r="C31" s="7" t="str">
        <f>IF($A31="","",Registro_Contenedores!E31)</f>
        <v/>
      </c>
      <c r="D31" s="7" t="str">
        <f>IF($A31="","",Registro_Contenedores!H31)</f>
        <v/>
      </c>
      <c r="E31" s="7" t="str">
        <f>IF($A31="","",Registro_Contenedores!J31)</f>
        <v/>
      </c>
      <c r="F31" s="7" t="str">
        <f>IF($A31="","",Registro_Contenedores!K31)</f>
        <v/>
      </c>
      <c r="G31" s="5"/>
      <c r="H31" s="5"/>
      <c r="I31" s="5"/>
      <c r="J31" s="9"/>
    </row>
    <row r="32" spans="1:10" x14ac:dyDescent="0.35">
      <c r="A32" s="7" t="str">
        <f>IF(Registro_Contenedores!A32="","",Registro_Contenedores!A32)</f>
        <v/>
      </c>
      <c r="B32" s="7" t="str">
        <f>IF($A32="","",Registro_Contenedores!B32)</f>
        <v/>
      </c>
      <c r="C32" s="7" t="str">
        <f>IF($A32="","",Registro_Contenedores!E32)</f>
        <v/>
      </c>
      <c r="D32" s="7" t="str">
        <f>IF($A32="","",Registro_Contenedores!H32)</f>
        <v/>
      </c>
      <c r="E32" s="7" t="str">
        <f>IF($A32="","",Registro_Contenedores!J32)</f>
        <v/>
      </c>
      <c r="F32" s="7" t="str">
        <f>IF($A32="","",Registro_Contenedores!K32)</f>
        <v/>
      </c>
      <c r="G32" s="5"/>
      <c r="H32" s="5"/>
      <c r="I32" s="5"/>
      <c r="J32" s="9"/>
    </row>
    <row r="33" spans="1:10" x14ac:dyDescent="0.35">
      <c r="A33" s="7" t="str">
        <f>IF(Registro_Contenedores!A33="","",Registro_Contenedores!A33)</f>
        <v/>
      </c>
      <c r="B33" s="7" t="str">
        <f>IF($A33="","",Registro_Contenedores!B33)</f>
        <v/>
      </c>
      <c r="C33" s="7" t="str">
        <f>IF($A33="","",Registro_Contenedores!E33)</f>
        <v/>
      </c>
      <c r="D33" s="7" t="str">
        <f>IF($A33="","",Registro_Contenedores!H33)</f>
        <v/>
      </c>
      <c r="E33" s="7" t="str">
        <f>IF($A33="","",Registro_Contenedores!J33)</f>
        <v/>
      </c>
      <c r="F33" s="7" t="str">
        <f>IF($A33="","",Registro_Contenedores!K33)</f>
        <v/>
      </c>
      <c r="G33" s="5"/>
      <c r="H33" s="5"/>
      <c r="I33" s="5"/>
      <c r="J33" s="9"/>
    </row>
    <row r="34" spans="1:10" x14ac:dyDescent="0.35">
      <c r="A34" s="7" t="str">
        <f>IF(Registro_Contenedores!A34="","",Registro_Contenedores!A34)</f>
        <v/>
      </c>
      <c r="B34" s="7" t="str">
        <f>IF($A34="","",Registro_Contenedores!B34)</f>
        <v/>
      </c>
      <c r="C34" s="7" t="str">
        <f>IF($A34="","",Registro_Contenedores!E34)</f>
        <v/>
      </c>
      <c r="D34" s="7" t="str">
        <f>IF($A34="","",Registro_Contenedores!H34)</f>
        <v/>
      </c>
      <c r="E34" s="7" t="str">
        <f>IF($A34="","",Registro_Contenedores!J34)</f>
        <v/>
      </c>
      <c r="F34" s="7" t="str">
        <f>IF($A34="","",Registro_Contenedores!K34)</f>
        <v/>
      </c>
      <c r="G34" s="5"/>
      <c r="H34" s="5"/>
      <c r="I34" s="5"/>
      <c r="J34" s="9"/>
    </row>
    <row r="35" spans="1:10" x14ac:dyDescent="0.35">
      <c r="A35" s="7" t="str">
        <f>IF(Registro_Contenedores!A35="","",Registro_Contenedores!A35)</f>
        <v/>
      </c>
      <c r="B35" s="7" t="str">
        <f>IF($A35="","",Registro_Contenedores!B35)</f>
        <v/>
      </c>
      <c r="C35" s="7" t="str">
        <f>IF($A35="","",Registro_Contenedores!E35)</f>
        <v/>
      </c>
      <c r="D35" s="7" t="str">
        <f>IF($A35="","",Registro_Contenedores!H35)</f>
        <v/>
      </c>
      <c r="E35" s="7" t="str">
        <f>IF($A35="","",Registro_Contenedores!J35)</f>
        <v/>
      </c>
      <c r="F35" s="7" t="str">
        <f>IF($A35="","",Registro_Contenedores!K35)</f>
        <v/>
      </c>
      <c r="G35" s="5"/>
      <c r="H35" s="5"/>
      <c r="I35" s="5"/>
      <c r="J35" s="9"/>
    </row>
    <row r="36" spans="1:10" x14ac:dyDescent="0.35">
      <c r="A36" s="7" t="str">
        <f>IF(Registro_Contenedores!A36="","",Registro_Contenedores!A36)</f>
        <v/>
      </c>
      <c r="B36" s="7" t="str">
        <f>IF($A36="","",Registro_Contenedores!B36)</f>
        <v/>
      </c>
      <c r="C36" s="7" t="str">
        <f>IF($A36="","",Registro_Contenedores!E36)</f>
        <v/>
      </c>
      <c r="D36" s="7" t="str">
        <f>IF($A36="","",Registro_Contenedores!H36)</f>
        <v/>
      </c>
      <c r="E36" s="7" t="str">
        <f>IF($A36="","",Registro_Contenedores!J36)</f>
        <v/>
      </c>
      <c r="F36" s="7" t="str">
        <f>IF($A36="","",Registro_Contenedores!K36)</f>
        <v/>
      </c>
      <c r="G36" s="5"/>
      <c r="H36" s="5"/>
      <c r="I36" s="5"/>
      <c r="J36" s="9"/>
    </row>
    <row r="37" spans="1:10" x14ac:dyDescent="0.35">
      <c r="A37" s="7" t="str">
        <f>IF(Registro_Contenedores!A37="","",Registro_Contenedores!A37)</f>
        <v/>
      </c>
      <c r="B37" s="7" t="str">
        <f>IF($A37="","",Registro_Contenedores!B37)</f>
        <v/>
      </c>
      <c r="C37" s="7" t="str">
        <f>IF($A37="","",Registro_Contenedores!E37)</f>
        <v/>
      </c>
      <c r="D37" s="7" t="str">
        <f>IF($A37="","",Registro_Contenedores!H37)</f>
        <v/>
      </c>
      <c r="E37" s="7" t="str">
        <f>IF($A37="","",Registro_Contenedores!J37)</f>
        <v/>
      </c>
      <c r="F37" s="7" t="str">
        <f>IF($A37="","",Registro_Contenedores!K37)</f>
        <v/>
      </c>
      <c r="G37" s="5"/>
      <c r="H37" s="5"/>
      <c r="I37" s="5"/>
      <c r="J37" s="9"/>
    </row>
    <row r="38" spans="1:10" x14ac:dyDescent="0.35">
      <c r="A38" s="7" t="str">
        <f>IF(Registro_Contenedores!A38="","",Registro_Contenedores!A38)</f>
        <v/>
      </c>
      <c r="B38" s="7" t="str">
        <f>IF($A38="","",Registro_Contenedores!B38)</f>
        <v/>
      </c>
      <c r="C38" s="7" t="str">
        <f>IF($A38="","",Registro_Contenedores!E38)</f>
        <v/>
      </c>
      <c r="D38" s="7" t="str">
        <f>IF($A38="","",Registro_Contenedores!H38)</f>
        <v/>
      </c>
      <c r="E38" s="7" t="str">
        <f>IF($A38="","",Registro_Contenedores!J38)</f>
        <v/>
      </c>
      <c r="F38" s="7" t="str">
        <f>IF($A38="","",Registro_Contenedores!K38)</f>
        <v/>
      </c>
      <c r="G38" s="5"/>
      <c r="H38" s="5"/>
      <c r="I38" s="5"/>
      <c r="J38" s="9"/>
    </row>
    <row r="39" spans="1:10" x14ac:dyDescent="0.35">
      <c r="A39" s="7" t="str">
        <f>IF(Registro_Contenedores!A39="","",Registro_Contenedores!A39)</f>
        <v/>
      </c>
      <c r="B39" s="7" t="str">
        <f>IF($A39="","",Registro_Contenedores!B39)</f>
        <v/>
      </c>
      <c r="C39" s="7" t="str">
        <f>IF($A39="","",Registro_Contenedores!E39)</f>
        <v/>
      </c>
      <c r="D39" s="7" t="str">
        <f>IF($A39="","",Registro_Contenedores!H39)</f>
        <v/>
      </c>
      <c r="E39" s="7" t="str">
        <f>IF($A39="","",Registro_Contenedores!J39)</f>
        <v/>
      </c>
      <c r="F39" s="7" t="str">
        <f>IF($A39="","",Registro_Contenedores!K39)</f>
        <v/>
      </c>
      <c r="G39" s="5"/>
      <c r="H39" s="5"/>
      <c r="I39" s="5"/>
      <c r="J39" s="9"/>
    </row>
    <row r="40" spans="1:10" x14ac:dyDescent="0.35">
      <c r="A40" s="7" t="str">
        <f>IF(Registro_Contenedores!A40="","",Registro_Contenedores!A40)</f>
        <v/>
      </c>
      <c r="B40" s="7" t="str">
        <f>IF($A40="","",Registro_Contenedores!B40)</f>
        <v/>
      </c>
      <c r="C40" s="7" t="str">
        <f>IF($A40="","",Registro_Contenedores!E40)</f>
        <v/>
      </c>
      <c r="D40" s="7" t="str">
        <f>IF($A40="","",Registro_Contenedores!H40)</f>
        <v/>
      </c>
      <c r="E40" s="7" t="str">
        <f>IF($A40="","",Registro_Contenedores!J40)</f>
        <v/>
      </c>
      <c r="F40" s="7" t="str">
        <f>IF($A40="","",Registro_Contenedores!K40)</f>
        <v/>
      </c>
      <c r="G40" s="5"/>
      <c r="H40" s="5"/>
      <c r="I40" s="5"/>
      <c r="J40" s="9"/>
    </row>
    <row r="41" spans="1:10" x14ac:dyDescent="0.35">
      <c r="A41" s="7" t="str">
        <f>IF(Registro_Contenedores!A41="","",Registro_Contenedores!A41)</f>
        <v/>
      </c>
      <c r="B41" s="7" t="str">
        <f>IF($A41="","",Registro_Contenedores!B41)</f>
        <v/>
      </c>
      <c r="C41" s="7" t="str">
        <f>IF($A41="","",Registro_Contenedores!E41)</f>
        <v/>
      </c>
      <c r="D41" s="7" t="str">
        <f>IF($A41="","",Registro_Contenedores!H41)</f>
        <v/>
      </c>
      <c r="E41" s="7" t="str">
        <f>IF($A41="","",Registro_Contenedores!J41)</f>
        <v/>
      </c>
      <c r="F41" s="7" t="str">
        <f>IF($A41="","",Registro_Contenedores!K41)</f>
        <v/>
      </c>
      <c r="G41" s="5"/>
      <c r="H41" s="5"/>
      <c r="I41" s="5"/>
      <c r="J41" s="9"/>
    </row>
    <row r="42" spans="1:10" x14ac:dyDescent="0.35">
      <c r="A42" s="7" t="str">
        <f>IF(Registro_Contenedores!A42="","",Registro_Contenedores!A42)</f>
        <v/>
      </c>
      <c r="B42" s="7" t="str">
        <f>IF($A42="","",Registro_Contenedores!B42)</f>
        <v/>
      </c>
      <c r="C42" s="7" t="str">
        <f>IF($A42="","",Registro_Contenedores!E42)</f>
        <v/>
      </c>
      <c r="D42" s="7" t="str">
        <f>IF($A42="","",Registro_Contenedores!H42)</f>
        <v/>
      </c>
      <c r="E42" s="7" t="str">
        <f>IF($A42="","",Registro_Contenedores!J42)</f>
        <v/>
      </c>
      <c r="F42" s="7" t="str">
        <f>IF($A42="","",Registro_Contenedores!K42)</f>
        <v/>
      </c>
      <c r="G42" s="5"/>
      <c r="H42" s="5"/>
      <c r="I42" s="5"/>
      <c r="J42" s="9"/>
    </row>
    <row r="43" spans="1:10" x14ac:dyDescent="0.35">
      <c r="A43" s="7" t="str">
        <f>IF(Registro_Contenedores!A43="","",Registro_Contenedores!A43)</f>
        <v/>
      </c>
      <c r="B43" s="7" t="str">
        <f>IF($A43="","",Registro_Contenedores!B43)</f>
        <v/>
      </c>
      <c r="C43" s="7" t="str">
        <f>IF($A43="","",Registro_Contenedores!E43)</f>
        <v/>
      </c>
      <c r="D43" s="7" t="str">
        <f>IF($A43="","",Registro_Contenedores!H43)</f>
        <v/>
      </c>
      <c r="E43" s="7" t="str">
        <f>IF($A43="","",Registro_Contenedores!J43)</f>
        <v/>
      </c>
      <c r="F43" s="7" t="str">
        <f>IF($A43="","",Registro_Contenedores!K43)</f>
        <v/>
      </c>
      <c r="G43" s="5"/>
      <c r="H43" s="5"/>
      <c r="I43" s="5"/>
      <c r="J43" s="9"/>
    </row>
    <row r="44" spans="1:10" x14ac:dyDescent="0.35">
      <c r="A44" s="7" t="str">
        <f>IF(Registro_Contenedores!A44="","",Registro_Contenedores!A44)</f>
        <v/>
      </c>
      <c r="B44" s="7" t="str">
        <f>IF($A44="","",Registro_Contenedores!B44)</f>
        <v/>
      </c>
      <c r="C44" s="7" t="str">
        <f>IF($A44="","",Registro_Contenedores!E44)</f>
        <v/>
      </c>
      <c r="D44" s="7" t="str">
        <f>IF($A44="","",Registro_Contenedores!H44)</f>
        <v/>
      </c>
      <c r="E44" s="7" t="str">
        <f>IF($A44="","",Registro_Contenedores!J44)</f>
        <v/>
      </c>
      <c r="F44" s="7" t="str">
        <f>IF($A44="","",Registro_Contenedores!K44)</f>
        <v/>
      </c>
      <c r="G44" s="5"/>
      <c r="H44" s="5"/>
      <c r="I44" s="5"/>
      <c r="J44" s="9"/>
    </row>
    <row r="45" spans="1:10" x14ac:dyDescent="0.35">
      <c r="A45" s="7" t="str">
        <f>IF(Registro_Contenedores!A45="","",Registro_Contenedores!A45)</f>
        <v/>
      </c>
      <c r="B45" s="7" t="str">
        <f>IF($A45="","",Registro_Contenedores!B45)</f>
        <v/>
      </c>
      <c r="C45" s="7" t="str">
        <f>IF($A45="","",Registro_Contenedores!E45)</f>
        <v/>
      </c>
      <c r="D45" s="7" t="str">
        <f>IF($A45="","",Registro_Contenedores!H45)</f>
        <v/>
      </c>
      <c r="E45" s="7" t="str">
        <f>IF($A45="","",Registro_Contenedores!J45)</f>
        <v/>
      </c>
      <c r="F45" s="7" t="str">
        <f>IF($A45="","",Registro_Contenedores!K45)</f>
        <v/>
      </c>
      <c r="G45" s="5"/>
      <c r="H45" s="5"/>
      <c r="I45" s="5"/>
      <c r="J45" s="9"/>
    </row>
    <row r="46" spans="1:10" x14ac:dyDescent="0.35">
      <c r="A46" s="7" t="str">
        <f>IF(Registro_Contenedores!A46="","",Registro_Contenedores!A46)</f>
        <v/>
      </c>
      <c r="B46" s="7" t="str">
        <f>IF($A46="","",Registro_Contenedores!B46)</f>
        <v/>
      </c>
      <c r="C46" s="7" t="str">
        <f>IF($A46="","",Registro_Contenedores!E46)</f>
        <v/>
      </c>
      <c r="D46" s="7" t="str">
        <f>IF($A46="","",Registro_Contenedores!H46)</f>
        <v/>
      </c>
      <c r="E46" s="7" t="str">
        <f>IF($A46="","",Registro_Contenedores!J46)</f>
        <v/>
      </c>
      <c r="F46" s="7" t="str">
        <f>IF($A46="","",Registro_Contenedores!K46)</f>
        <v/>
      </c>
      <c r="G46" s="5"/>
      <c r="H46" s="5"/>
      <c r="I46" s="5"/>
      <c r="J46" s="9"/>
    </row>
    <row r="47" spans="1:10" x14ac:dyDescent="0.35">
      <c r="A47" s="7" t="str">
        <f>IF(Registro_Contenedores!A47="","",Registro_Contenedores!A47)</f>
        <v/>
      </c>
      <c r="B47" s="7" t="str">
        <f>IF($A47="","",Registro_Contenedores!B47)</f>
        <v/>
      </c>
      <c r="C47" s="7" t="str">
        <f>IF($A47="","",Registro_Contenedores!E47)</f>
        <v/>
      </c>
      <c r="D47" s="7" t="str">
        <f>IF($A47="","",Registro_Contenedores!H47)</f>
        <v/>
      </c>
      <c r="E47" s="7" t="str">
        <f>IF($A47="","",Registro_Contenedores!J47)</f>
        <v/>
      </c>
      <c r="F47" s="7" t="str">
        <f>IF($A47="","",Registro_Contenedores!K47)</f>
        <v/>
      </c>
      <c r="G47" s="5"/>
      <c r="H47" s="5"/>
      <c r="I47" s="5"/>
      <c r="J47" s="9"/>
    </row>
    <row r="48" spans="1:10" x14ac:dyDescent="0.35">
      <c r="A48" s="7" t="str">
        <f>IF(Registro_Contenedores!A48="","",Registro_Contenedores!A48)</f>
        <v/>
      </c>
      <c r="B48" s="7" t="str">
        <f>IF($A48="","",Registro_Contenedores!B48)</f>
        <v/>
      </c>
      <c r="C48" s="7" t="str">
        <f>IF($A48="","",Registro_Contenedores!E48)</f>
        <v/>
      </c>
      <c r="D48" s="7" t="str">
        <f>IF($A48="","",Registro_Contenedores!H48)</f>
        <v/>
      </c>
      <c r="E48" s="7" t="str">
        <f>IF($A48="","",Registro_Contenedores!J48)</f>
        <v/>
      </c>
      <c r="F48" s="7" t="str">
        <f>IF($A48="","",Registro_Contenedores!K48)</f>
        <v/>
      </c>
      <c r="G48" s="5"/>
      <c r="H48" s="5"/>
      <c r="I48" s="5"/>
      <c r="J48" s="9"/>
    </row>
    <row r="49" spans="1:10" x14ac:dyDescent="0.35">
      <c r="A49" s="7" t="str">
        <f>IF(Registro_Contenedores!A49="","",Registro_Contenedores!A49)</f>
        <v/>
      </c>
      <c r="B49" s="7" t="str">
        <f>IF($A49="","",Registro_Contenedores!B49)</f>
        <v/>
      </c>
      <c r="C49" s="7" t="str">
        <f>IF($A49="","",Registro_Contenedores!E49)</f>
        <v/>
      </c>
      <c r="D49" s="7" t="str">
        <f>IF($A49="","",Registro_Contenedores!H49)</f>
        <v/>
      </c>
      <c r="E49" s="7" t="str">
        <f>IF($A49="","",Registro_Contenedores!J49)</f>
        <v/>
      </c>
      <c r="F49" s="7" t="str">
        <f>IF($A49="","",Registro_Contenedores!K49)</f>
        <v/>
      </c>
      <c r="G49" s="5"/>
      <c r="H49" s="5"/>
      <c r="I49" s="5"/>
      <c r="J49" s="9"/>
    </row>
    <row r="50" spans="1:10" x14ac:dyDescent="0.35">
      <c r="A50" s="7" t="str">
        <f>IF(Registro_Contenedores!A50="","",Registro_Contenedores!A50)</f>
        <v/>
      </c>
      <c r="B50" s="7" t="str">
        <f>IF($A50="","",Registro_Contenedores!B50)</f>
        <v/>
      </c>
      <c r="C50" s="7" t="str">
        <f>IF($A50="","",Registro_Contenedores!E50)</f>
        <v/>
      </c>
      <c r="D50" s="7" t="str">
        <f>IF($A50="","",Registro_Contenedores!H50)</f>
        <v/>
      </c>
      <c r="E50" s="7" t="str">
        <f>IF($A50="","",Registro_Contenedores!J50)</f>
        <v/>
      </c>
      <c r="F50" s="7" t="str">
        <f>IF($A50="","",Registro_Contenedores!K50)</f>
        <v/>
      </c>
      <c r="G50" s="5"/>
      <c r="H50" s="5"/>
      <c r="I50" s="5"/>
      <c r="J50" s="9"/>
    </row>
    <row r="51" spans="1:10" x14ac:dyDescent="0.35">
      <c r="A51" s="7" t="str">
        <f>IF(Registro_Contenedores!A51="","",Registro_Contenedores!A51)</f>
        <v/>
      </c>
      <c r="B51" s="7" t="str">
        <f>IF($A51="","",Registro_Contenedores!B51)</f>
        <v/>
      </c>
      <c r="C51" s="7" t="str">
        <f>IF($A51="","",Registro_Contenedores!E51)</f>
        <v/>
      </c>
      <c r="D51" s="7" t="str">
        <f>IF($A51="","",Registro_Contenedores!H51)</f>
        <v/>
      </c>
      <c r="E51" s="7" t="str">
        <f>IF($A51="","",Registro_Contenedores!J51)</f>
        <v/>
      </c>
      <c r="F51" s="7" t="str">
        <f>IF($A51="","",Registro_Contenedores!K51)</f>
        <v/>
      </c>
      <c r="G51" s="5"/>
      <c r="H51" s="5"/>
      <c r="I51" s="5"/>
      <c r="J51" s="9"/>
    </row>
    <row r="52" spans="1:10" x14ac:dyDescent="0.35">
      <c r="A52" s="7" t="str">
        <f>IF(Registro_Contenedores!A52="","",Registro_Contenedores!A52)</f>
        <v/>
      </c>
      <c r="B52" s="7" t="str">
        <f>IF($A52="","",Registro_Contenedores!B52)</f>
        <v/>
      </c>
      <c r="C52" s="7" t="str">
        <f>IF($A52="","",Registro_Contenedores!E52)</f>
        <v/>
      </c>
      <c r="D52" s="7" t="str">
        <f>IF($A52="","",Registro_Contenedores!H52)</f>
        <v/>
      </c>
      <c r="E52" s="7" t="str">
        <f>IF($A52="","",Registro_Contenedores!J52)</f>
        <v/>
      </c>
      <c r="F52" s="7" t="str">
        <f>IF($A52="","",Registro_Contenedores!K52)</f>
        <v/>
      </c>
      <c r="G52" s="5"/>
      <c r="H52" s="5"/>
      <c r="I52" s="5"/>
      <c r="J52" s="9"/>
    </row>
    <row r="53" spans="1:10" x14ac:dyDescent="0.35">
      <c r="A53" s="7" t="str">
        <f>IF(Registro_Contenedores!A53="","",Registro_Contenedores!A53)</f>
        <v/>
      </c>
      <c r="B53" s="7" t="str">
        <f>IF($A53="","",Registro_Contenedores!B53)</f>
        <v/>
      </c>
      <c r="C53" s="7" t="str">
        <f>IF($A53="","",Registro_Contenedores!E53)</f>
        <v/>
      </c>
      <c r="D53" s="7" t="str">
        <f>IF($A53="","",Registro_Contenedores!H53)</f>
        <v/>
      </c>
      <c r="E53" s="7" t="str">
        <f>IF($A53="","",Registro_Contenedores!J53)</f>
        <v/>
      </c>
      <c r="F53" s="7" t="str">
        <f>IF($A53="","",Registro_Contenedores!K53)</f>
        <v/>
      </c>
      <c r="G53" s="5"/>
      <c r="H53" s="5"/>
      <c r="I53" s="5"/>
      <c r="J53" s="9"/>
    </row>
    <row r="54" spans="1:10" x14ac:dyDescent="0.35">
      <c r="A54" s="7" t="str">
        <f>IF(Registro_Contenedores!A54="","",Registro_Contenedores!A54)</f>
        <v/>
      </c>
      <c r="B54" s="7" t="str">
        <f>IF($A54="","",Registro_Contenedores!B54)</f>
        <v/>
      </c>
      <c r="C54" s="7" t="str">
        <f>IF($A54="","",Registro_Contenedores!E54)</f>
        <v/>
      </c>
      <c r="D54" s="7" t="str">
        <f>IF($A54="","",Registro_Contenedores!H54)</f>
        <v/>
      </c>
      <c r="E54" s="7" t="str">
        <f>IF($A54="","",Registro_Contenedores!J54)</f>
        <v/>
      </c>
      <c r="F54" s="7" t="str">
        <f>IF($A54="","",Registro_Contenedores!K54)</f>
        <v/>
      </c>
      <c r="G54" s="5"/>
      <c r="H54" s="5"/>
      <c r="I54" s="5"/>
      <c r="J54" s="9"/>
    </row>
    <row r="55" spans="1:10" x14ac:dyDescent="0.35">
      <c r="A55" s="7" t="str">
        <f>IF(Registro_Contenedores!A55="","",Registro_Contenedores!A55)</f>
        <v/>
      </c>
      <c r="B55" s="7" t="str">
        <f>IF($A55="","",Registro_Contenedores!B55)</f>
        <v/>
      </c>
      <c r="C55" s="7" t="str">
        <f>IF($A55="","",Registro_Contenedores!E55)</f>
        <v/>
      </c>
      <c r="D55" s="7" t="str">
        <f>IF($A55="","",Registro_Contenedores!H55)</f>
        <v/>
      </c>
      <c r="E55" s="7" t="str">
        <f>IF($A55="","",Registro_Contenedores!J55)</f>
        <v/>
      </c>
      <c r="F55" s="7" t="str">
        <f>IF($A55="","",Registro_Contenedores!K55)</f>
        <v/>
      </c>
      <c r="G55" s="5"/>
      <c r="H55" s="5"/>
      <c r="I55" s="5"/>
      <c r="J55" s="9"/>
    </row>
    <row r="56" spans="1:10" x14ac:dyDescent="0.35">
      <c r="A56" s="7" t="str">
        <f>IF(Registro_Contenedores!A56="","",Registro_Contenedores!A56)</f>
        <v/>
      </c>
      <c r="B56" s="7" t="str">
        <f>IF($A56="","",Registro_Contenedores!B56)</f>
        <v/>
      </c>
      <c r="C56" s="7" t="str">
        <f>IF($A56="","",Registro_Contenedores!E56)</f>
        <v/>
      </c>
      <c r="D56" s="7" t="str">
        <f>IF($A56="","",Registro_Contenedores!H56)</f>
        <v/>
      </c>
      <c r="E56" s="7" t="str">
        <f>IF($A56="","",Registro_Contenedores!J56)</f>
        <v/>
      </c>
      <c r="F56" s="7" t="str">
        <f>IF($A56="","",Registro_Contenedores!K56)</f>
        <v/>
      </c>
      <c r="G56" s="5"/>
      <c r="H56" s="5"/>
      <c r="I56" s="5"/>
      <c r="J56" s="9"/>
    </row>
    <row r="57" spans="1:10" x14ac:dyDescent="0.35">
      <c r="A57" s="7" t="str">
        <f>IF(Registro_Contenedores!A57="","",Registro_Contenedores!A57)</f>
        <v/>
      </c>
      <c r="B57" s="7" t="str">
        <f>IF($A57="","",Registro_Contenedores!B57)</f>
        <v/>
      </c>
      <c r="C57" s="7" t="str">
        <f>IF($A57="","",Registro_Contenedores!E57)</f>
        <v/>
      </c>
      <c r="D57" s="7" t="str">
        <f>IF($A57="","",Registro_Contenedores!H57)</f>
        <v/>
      </c>
      <c r="E57" s="7" t="str">
        <f>IF($A57="","",Registro_Contenedores!J57)</f>
        <v/>
      </c>
      <c r="F57" s="7" t="str">
        <f>IF($A57="","",Registro_Contenedores!K57)</f>
        <v/>
      </c>
      <c r="G57" s="5"/>
      <c r="H57" s="5"/>
      <c r="I57" s="5"/>
      <c r="J57" s="9"/>
    </row>
    <row r="58" spans="1:10" x14ac:dyDescent="0.35">
      <c r="A58" s="7" t="str">
        <f>IF(Registro_Contenedores!A58="","",Registro_Contenedores!A58)</f>
        <v/>
      </c>
      <c r="B58" s="7" t="str">
        <f>IF($A58="","",Registro_Contenedores!B58)</f>
        <v/>
      </c>
      <c r="C58" s="7" t="str">
        <f>IF($A58="","",Registro_Contenedores!E58)</f>
        <v/>
      </c>
      <c r="D58" s="7" t="str">
        <f>IF($A58="","",Registro_Contenedores!H58)</f>
        <v/>
      </c>
      <c r="E58" s="7" t="str">
        <f>IF($A58="","",Registro_Contenedores!J58)</f>
        <v/>
      </c>
      <c r="F58" s="7" t="str">
        <f>IF($A58="","",Registro_Contenedores!K58)</f>
        <v/>
      </c>
      <c r="G58" s="5"/>
      <c r="H58" s="5"/>
      <c r="I58" s="5"/>
      <c r="J58" s="9"/>
    </row>
    <row r="59" spans="1:10" x14ac:dyDescent="0.35">
      <c r="A59" s="7" t="str">
        <f>IF(Registro_Contenedores!A59="","",Registro_Contenedores!A59)</f>
        <v/>
      </c>
      <c r="B59" s="7" t="str">
        <f>IF($A59="","",Registro_Contenedores!B59)</f>
        <v/>
      </c>
      <c r="C59" s="7" t="str">
        <f>IF($A59="","",Registro_Contenedores!E59)</f>
        <v/>
      </c>
      <c r="D59" s="7" t="str">
        <f>IF($A59="","",Registro_Contenedores!H59)</f>
        <v/>
      </c>
      <c r="E59" s="7" t="str">
        <f>IF($A59="","",Registro_Contenedores!J59)</f>
        <v/>
      </c>
      <c r="F59" s="7" t="str">
        <f>IF($A59="","",Registro_Contenedores!K59)</f>
        <v/>
      </c>
      <c r="G59" s="5"/>
      <c r="H59" s="5"/>
      <c r="I59" s="5"/>
      <c r="J59" s="9"/>
    </row>
    <row r="60" spans="1:10" x14ac:dyDescent="0.35">
      <c r="A60" s="7" t="str">
        <f>IF(Registro_Contenedores!A60="","",Registro_Contenedores!A60)</f>
        <v/>
      </c>
      <c r="B60" s="7" t="str">
        <f>IF($A60="","",Registro_Contenedores!B60)</f>
        <v/>
      </c>
      <c r="C60" s="7" t="str">
        <f>IF($A60="","",Registro_Contenedores!E60)</f>
        <v/>
      </c>
      <c r="D60" s="7" t="str">
        <f>IF($A60="","",Registro_Contenedores!H60)</f>
        <v/>
      </c>
      <c r="E60" s="7" t="str">
        <f>IF($A60="","",Registro_Contenedores!J60)</f>
        <v/>
      </c>
      <c r="F60" s="7" t="str">
        <f>IF($A60="","",Registro_Contenedores!K60)</f>
        <v/>
      </c>
      <c r="G60" s="5"/>
      <c r="H60" s="5"/>
      <c r="I60" s="5"/>
      <c r="J60" s="9"/>
    </row>
    <row r="61" spans="1:10" x14ac:dyDescent="0.35">
      <c r="A61" s="7" t="str">
        <f>IF(Registro_Contenedores!A61="","",Registro_Contenedores!A61)</f>
        <v/>
      </c>
      <c r="B61" s="7" t="str">
        <f>IF($A61="","",Registro_Contenedores!B61)</f>
        <v/>
      </c>
      <c r="C61" s="7" t="str">
        <f>IF($A61="","",Registro_Contenedores!E61)</f>
        <v/>
      </c>
      <c r="D61" s="7" t="str">
        <f>IF($A61="","",Registro_Contenedores!H61)</f>
        <v/>
      </c>
      <c r="E61" s="7" t="str">
        <f>IF($A61="","",Registro_Contenedores!J61)</f>
        <v/>
      </c>
      <c r="F61" s="7" t="str">
        <f>IF($A61="","",Registro_Contenedores!K61)</f>
        <v/>
      </c>
      <c r="G61" s="5"/>
      <c r="H61" s="5"/>
      <c r="I61" s="5"/>
      <c r="J61" s="9"/>
    </row>
    <row r="62" spans="1:10" x14ac:dyDescent="0.35">
      <c r="A62" s="7" t="str">
        <f>IF(Registro_Contenedores!A62="","",Registro_Contenedores!A62)</f>
        <v/>
      </c>
      <c r="B62" s="7" t="str">
        <f>IF($A62="","",Registro_Contenedores!B62)</f>
        <v/>
      </c>
      <c r="C62" s="7" t="str">
        <f>IF($A62="","",Registro_Contenedores!E62)</f>
        <v/>
      </c>
      <c r="D62" s="7" t="str">
        <f>IF($A62="","",Registro_Contenedores!H62)</f>
        <v/>
      </c>
      <c r="E62" s="7" t="str">
        <f>IF($A62="","",Registro_Contenedores!J62)</f>
        <v/>
      </c>
      <c r="F62" s="7" t="str">
        <f>IF($A62="","",Registro_Contenedores!K62)</f>
        <v/>
      </c>
      <c r="G62" s="5"/>
      <c r="H62" s="5"/>
      <c r="I62" s="5"/>
      <c r="J62" s="9"/>
    </row>
    <row r="63" spans="1:10" x14ac:dyDescent="0.35">
      <c r="A63" s="7" t="str">
        <f>IF(Registro_Contenedores!A63="","",Registro_Contenedores!A63)</f>
        <v/>
      </c>
      <c r="B63" s="7" t="str">
        <f>IF($A63="","",Registro_Contenedores!B63)</f>
        <v/>
      </c>
      <c r="C63" s="7" t="str">
        <f>IF($A63="","",Registro_Contenedores!E63)</f>
        <v/>
      </c>
      <c r="D63" s="7" t="str">
        <f>IF($A63="","",Registro_Contenedores!H63)</f>
        <v/>
      </c>
      <c r="E63" s="7" t="str">
        <f>IF($A63="","",Registro_Contenedores!J63)</f>
        <v/>
      </c>
      <c r="F63" s="7" t="str">
        <f>IF($A63="","",Registro_Contenedores!K63)</f>
        <v/>
      </c>
      <c r="G63" s="5"/>
      <c r="H63" s="5"/>
      <c r="I63" s="5"/>
      <c r="J63" s="9"/>
    </row>
    <row r="64" spans="1:10" x14ac:dyDescent="0.35">
      <c r="A64" s="7" t="str">
        <f>IF(Registro_Contenedores!A64="","",Registro_Contenedores!A64)</f>
        <v/>
      </c>
      <c r="B64" s="7" t="str">
        <f>IF($A64="","",Registro_Contenedores!B64)</f>
        <v/>
      </c>
      <c r="C64" s="7" t="str">
        <f>IF($A64="","",Registro_Contenedores!E64)</f>
        <v/>
      </c>
      <c r="D64" s="7" t="str">
        <f>IF($A64="","",Registro_Contenedores!H64)</f>
        <v/>
      </c>
      <c r="E64" s="7" t="str">
        <f>IF($A64="","",Registro_Contenedores!J64)</f>
        <v/>
      </c>
      <c r="F64" s="7" t="str">
        <f>IF($A64="","",Registro_Contenedores!K64)</f>
        <v/>
      </c>
      <c r="G64" s="5"/>
      <c r="H64" s="5"/>
      <c r="I64" s="5"/>
      <c r="J64" s="9"/>
    </row>
    <row r="65" spans="1:10" x14ac:dyDescent="0.35">
      <c r="A65" s="7" t="str">
        <f>IF(Registro_Contenedores!A65="","",Registro_Contenedores!A65)</f>
        <v/>
      </c>
      <c r="B65" s="7" t="str">
        <f>IF($A65="","",Registro_Contenedores!B65)</f>
        <v/>
      </c>
      <c r="C65" s="7" t="str">
        <f>IF($A65="","",Registro_Contenedores!E65)</f>
        <v/>
      </c>
      <c r="D65" s="7" t="str">
        <f>IF($A65="","",Registro_Contenedores!H65)</f>
        <v/>
      </c>
      <c r="E65" s="7" t="str">
        <f>IF($A65="","",Registro_Contenedores!J65)</f>
        <v/>
      </c>
      <c r="F65" s="7" t="str">
        <f>IF($A65="","",Registro_Contenedores!K65)</f>
        <v/>
      </c>
      <c r="G65" s="5"/>
      <c r="H65" s="5"/>
      <c r="I65" s="5"/>
      <c r="J65" s="9"/>
    </row>
    <row r="66" spans="1:10" x14ac:dyDescent="0.35">
      <c r="A66" s="7" t="str">
        <f>IF(Registro_Contenedores!A66="","",Registro_Contenedores!A66)</f>
        <v/>
      </c>
      <c r="B66" s="7" t="str">
        <f>IF($A66="","",Registro_Contenedores!B66)</f>
        <v/>
      </c>
      <c r="C66" s="7" t="str">
        <f>IF($A66="","",Registro_Contenedores!E66)</f>
        <v/>
      </c>
      <c r="D66" s="7" t="str">
        <f>IF($A66="","",Registro_Contenedores!H66)</f>
        <v/>
      </c>
      <c r="E66" s="7" t="str">
        <f>IF($A66="","",Registro_Contenedores!J66)</f>
        <v/>
      </c>
      <c r="F66" s="7" t="str">
        <f>IF($A66="","",Registro_Contenedores!K66)</f>
        <v/>
      </c>
      <c r="G66" s="5"/>
      <c r="H66" s="5"/>
      <c r="I66" s="5"/>
      <c r="J66" s="9"/>
    </row>
    <row r="67" spans="1:10" x14ac:dyDescent="0.35">
      <c r="A67" s="7" t="str">
        <f>IF(Registro_Contenedores!A67="","",Registro_Contenedores!A67)</f>
        <v/>
      </c>
      <c r="B67" s="7" t="str">
        <f>IF($A67="","",Registro_Contenedores!B67)</f>
        <v/>
      </c>
      <c r="C67" s="7" t="str">
        <f>IF($A67="","",Registro_Contenedores!E67)</f>
        <v/>
      </c>
      <c r="D67" s="7" t="str">
        <f>IF($A67="","",Registro_Contenedores!H67)</f>
        <v/>
      </c>
      <c r="E67" s="7" t="str">
        <f>IF($A67="","",Registro_Contenedores!J67)</f>
        <v/>
      </c>
      <c r="F67" s="7" t="str">
        <f>IF($A67="","",Registro_Contenedores!K67)</f>
        <v/>
      </c>
      <c r="G67" s="5"/>
      <c r="H67" s="5"/>
      <c r="I67" s="5"/>
      <c r="J67" s="9"/>
    </row>
    <row r="68" spans="1:10" x14ac:dyDescent="0.35">
      <c r="A68" s="7" t="str">
        <f>IF(Registro_Contenedores!A68="","",Registro_Contenedores!A68)</f>
        <v/>
      </c>
      <c r="B68" s="7" t="str">
        <f>IF($A68="","",Registro_Contenedores!B68)</f>
        <v/>
      </c>
      <c r="C68" s="7" t="str">
        <f>IF($A68="","",Registro_Contenedores!E68)</f>
        <v/>
      </c>
      <c r="D68" s="7" t="str">
        <f>IF($A68="","",Registro_Contenedores!H68)</f>
        <v/>
      </c>
      <c r="E68" s="7" t="str">
        <f>IF($A68="","",Registro_Contenedores!J68)</f>
        <v/>
      </c>
      <c r="F68" s="7" t="str">
        <f>IF($A68="","",Registro_Contenedores!K68)</f>
        <v/>
      </c>
      <c r="G68" s="5"/>
      <c r="H68" s="5"/>
      <c r="I68" s="5"/>
      <c r="J68" s="9"/>
    </row>
    <row r="69" spans="1:10" x14ac:dyDescent="0.35">
      <c r="A69" s="7" t="str">
        <f>IF(Registro_Contenedores!A69="","",Registro_Contenedores!A69)</f>
        <v/>
      </c>
      <c r="B69" s="7" t="str">
        <f>IF($A69="","",Registro_Contenedores!B69)</f>
        <v/>
      </c>
      <c r="C69" s="7" t="str">
        <f>IF($A69="","",Registro_Contenedores!E69)</f>
        <v/>
      </c>
      <c r="D69" s="7" t="str">
        <f>IF($A69="","",Registro_Contenedores!H69)</f>
        <v/>
      </c>
      <c r="E69" s="7" t="str">
        <f>IF($A69="","",Registro_Contenedores!J69)</f>
        <v/>
      </c>
      <c r="F69" s="7" t="str">
        <f>IF($A69="","",Registro_Contenedores!K69)</f>
        <v/>
      </c>
      <c r="G69" s="5"/>
      <c r="H69" s="5"/>
      <c r="I69" s="5"/>
      <c r="J69" s="9"/>
    </row>
    <row r="70" spans="1:10" x14ac:dyDescent="0.35">
      <c r="A70" s="7" t="str">
        <f>IF(Registro_Contenedores!A70="","",Registro_Contenedores!A70)</f>
        <v/>
      </c>
      <c r="B70" s="7" t="str">
        <f>IF($A70="","",Registro_Contenedores!B70)</f>
        <v/>
      </c>
      <c r="C70" s="7" t="str">
        <f>IF($A70="","",Registro_Contenedores!E70)</f>
        <v/>
      </c>
      <c r="D70" s="7" t="str">
        <f>IF($A70="","",Registro_Contenedores!H70)</f>
        <v/>
      </c>
      <c r="E70" s="7" t="str">
        <f>IF($A70="","",Registro_Contenedores!J70)</f>
        <v/>
      </c>
      <c r="F70" s="7" t="str">
        <f>IF($A70="","",Registro_Contenedores!K70)</f>
        <v/>
      </c>
      <c r="G70" s="5"/>
      <c r="H70" s="5"/>
      <c r="I70" s="5"/>
      <c r="J70" s="9"/>
    </row>
    <row r="71" spans="1:10" x14ac:dyDescent="0.35">
      <c r="A71" s="7" t="str">
        <f>IF(Registro_Contenedores!A71="","",Registro_Contenedores!A71)</f>
        <v/>
      </c>
      <c r="B71" s="7" t="str">
        <f>IF($A71="","",Registro_Contenedores!B71)</f>
        <v/>
      </c>
      <c r="C71" s="7" t="str">
        <f>IF($A71="","",Registro_Contenedores!E71)</f>
        <v/>
      </c>
      <c r="D71" s="7" t="str">
        <f>IF($A71="","",Registro_Contenedores!H71)</f>
        <v/>
      </c>
      <c r="E71" s="7" t="str">
        <f>IF($A71="","",Registro_Contenedores!J71)</f>
        <v/>
      </c>
      <c r="F71" s="7" t="str">
        <f>IF($A71="","",Registro_Contenedores!K71)</f>
        <v/>
      </c>
      <c r="G71" s="5"/>
      <c r="H71" s="5"/>
      <c r="I71" s="5"/>
      <c r="J71" s="9"/>
    </row>
    <row r="72" spans="1:10" x14ac:dyDescent="0.35">
      <c r="A72" s="7" t="str">
        <f>IF(Registro_Contenedores!A72="","",Registro_Contenedores!A72)</f>
        <v/>
      </c>
      <c r="B72" s="7" t="str">
        <f>IF($A72="","",Registro_Contenedores!B72)</f>
        <v/>
      </c>
      <c r="C72" s="7" t="str">
        <f>IF($A72="","",Registro_Contenedores!E72)</f>
        <v/>
      </c>
      <c r="D72" s="7" t="str">
        <f>IF($A72="","",Registro_Contenedores!H72)</f>
        <v/>
      </c>
      <c r="E72" s="7" t="str">
        <f>IF($A72="","",Registro_Contenedores!J72)</f>
        <v/>
      </c>
      <c r="F72" s="7" t="str">
        <f>IF($A72="","",Registro_Contenedores!K72)</f>
        <v/>
      </c>
      <c r="G72" s="5"/>
      <c r="H72" s="5"/>
      <c r="I72" s="5"/>
      <c r="J72" s="9"/>
    </row>
    <row r="73" spans="1:10" x14ac:dyDescent="0.35">
      <c r="A73" s="7" t="str">
        <f>IF(Registro_Contenedores!A73="","",Registro_Contenedores!A73)</f>
        <v/>
      </c>
      <c r="B73" s="7" t="str">
        <f>IF($A73="","",Registro_Contenedores!B73)</f>
        <v/>
      </c>
      <c r="C73" s="7" t="str">
        <f>IF($A73="","",Registro_Contenedores!E73)</f>
        <v/>
      </c>
      <c r="D73" s="7" t="str">
        <f>IF($A73="","",Registro_Contenedores!H73)</f>
        <v/>
      </c>
      <c r="E73" s="7" t="str">
        <f>IF($A73="","",Registro_Contenedores!J73)</f>
        <v/>
      </c>
      <c r="F73" s="7" t="str">
        <f>IF($A73="","",Registro_Contenedores!K73)</f>
        <v/>
      </c>
      <c r="G73" s="5"/>
      <c r="H73" s="5"/>
      <c r="I73" s="5"/>
      <c r="J73" s="9"/>
    </row>
    <row r="74" spans="1:10" x14ac:dyDescent="0.35">
      <c r="A74" s="7" t="str">
        <f>IF(Registro_Contenedores!A74="","",Registro_Contenedores!A74)</f>
        <v/>
      </c>
      <c r="B74" s="7" t="str">
        <f>IF($A74="","",Registro_Contenedores!B74)</f>
        <v/>
      </c>
      <c r="C74" s="7" t="str">
        <f>IF($A74="","",Registro_Contenedores!E74)</f>
        <v/>
      </c>
      <c r="D74" s="7" t="str">
        <f>IF($A74="","",Registro_Contenedores!H74)</f>
        <v/>
      </c>
      <c r="E74" s="7" t="str">
        <f>IF($A74="","",Registro_Contenedores!J74)</f>
        <v/>
      </c>
      <c r="F74" s="7" t="str">
        <f>IF($A74="","",Registro_Contenedores!K74)</f>
        <v/>
      </c>
      <c r="G74" s="5"/>
      <c r="H74" s="5"/>
      <c r="I74" s="5"/>
      <c r="J74" s="9"/>
    </row>
    <row r="75" spans="1:10" x14ac:dyDescent="0.35">
      <c r="A75" s="7" t="str">
        <f>IF(Registro_Contenedores!A75="","",Registro_Contenedores!A75)</f>
        <v/>
      </c>
      <c r="B75" s="7" t="str">
        <f>IF($A75="","",Registro_Contenedores!B75)</f>
        <v/>
      </c>
      <c r="C75" s="7" t="str">
        <f>IF($A75="","",Registro_Contenedores!E75)</f>
        <v/>
      </c>
      <c r="D75" s="7" t="str">
        <f>IF($A75="","",Registro_Contenedores!H75)</f>
        <v/>
      </c>
      <c r="E75" s="7" t="str">
        <f>IF($A75="","",Registro_Contenedores!J75)</f>
        <v/>
      </c>
      <c r="F75" s="7" t="str">
        <f>IF($A75="","",Registro_Contenedores!K75)</f>
        <v/>
      </c>
      <c r="G75" s="5"/>
      <c r="H75" s="5"/>
      <c r="I75" s="5"/>
      <c r="J75" s="9"/>
    </row>
    <row r="76" spans="1:10" x14ac:dyDescent="0.35">
      <c r="A76" s="7" t="str">
        <f>IF(Registro_Contenedores!A76="","",Registro_Contenedores!A76)</f>
        <v/>
      </c>
      <c r="B76" s="7" t="str">
        <f>IF($A76="","",Registro_Contenedores!B76)</f>
        <v/>
      </c>
      <c r="C76" s="7" t="str">
        <f>IF($A76="","",Registro_Contenedores!E76)</f>
        <v/>
      </c>
      <c r="D76" s="7" t="str">
        <f>IF($A76="","",Registro_Contenedores!H76)</f>
        <v/>
      </c>
      <c r="E76" s="7" t="str">
        <f>IF($A76="","",Registro_Contenedores!J76)</f>
        <v/>
      </c>
      <c r="F76" s="7" t="str">
        <f>IF($A76="","",Registro_Contenedores!K76)</f>
        <v/>
      </c>
      <c r="G76" s="5"/>
      <c r="H76" s="5"/>
      <c r="I76" s="5"/>
      <c r="J76" s="9"/>
    </row>
    <row r="77" spans="1:10" x14ac:dyDescent="0.35">
      <c r="A77" s="7" t="str">
        <f>IF(Registro_Contenedores!A77="","",Registro_Contenedores!A77)</f>
        <v/>
      </c>
      <c r="B77" s="7" t="str">
        <f>IF($A77="","",Registro_Contenedores!B77)</f>
        <v/>
      </c>
      <c r="C77" s="7" t="str">
        <f>IF($A77="","",Registro_Contenedores!E77)</f>
        <v/>
      </c>
      <c r="D77" s="7" t="str">
        <f>IF($A77="","",Registro_Contenedores!H77)</f>
        <v/>
      </c>
      <c r="E77" s="7" t="str">
        <f>IF($A77="","",Registro_Contenedores!J77)</f>
        <v/>
      </c>
      <c r="F77" s="7" t="str">
        <f>IF($A77="","",Registro_Contenedores!K77)</f>
        <v/>
      </c>
      <c r="G77" s="5"/>
      <c r="H77" s="5"/>
      <c r="I77" s="5"/>
      <c r="J77" s="9"/>
    </row>
    <row r="78" spans="1:10" x14ac:dyDescent="0.35">
      <c r="A78" s="7" t="str">
        <f>IF(Registro_Contenedores!A78="","",Registro_Contenedores!A78)</f>
        <v/>
      </c>
      <c r="B78" s="7" t="str">
        <f>IF($A78="","",Registro_Contenedores!B78)</f>
        <v/>
      </c>
      <c r="C78" s="7" t="str">
        <f>IF($A78="","",Registro_Contenedores!E78)</f>
        <v/>
      </c>
      <c r="D78" s="7" t="str">
        <f>IF($A78="","",Registro_Contenedores!H78)</f>
        <v/>
      </c>
      <c r="E78" s="7" t="str">
        <f>IF($A78="","",Registro_Contenedores!J78)</f>
        <v/>
      </c>
      <c r="F78" s="7" t="str">
        <f>IF($A78="","",Registro_Contenedores!K78)</f>
        <v/>
      </c>
      <c r="G78" s="5"/>
      <c r="H78" s="5"/>
      <c r="I78" s="5"/>
      <c r="J78" s="9"/>
    </row>
    <row r="79" spans="1:10" x14ac:dyDescent="0.35">
      <c r="A79" s="7" t="str">
        <f>IF(Registro_Contenedores!A79="","",Registro_Contenedores!A79)</f>
        <v/>
      </c>
      <c r="B79" s="7" t="str">
        <f>IF($A79="","",Registro_Contenedores!B79)</f>
        <v/>
      </c>
      <c r="C79" s="7" t="str">
        <f>IF($A79="","",Registro_Contenedores!E79)</f>
        <v/>
      </c>
      <c r="D79" s="7" t="str">
        <f>IF($A79="","",Registro_Contenedores!H79)</f>
        <v/>
      </c>
      <c r="E79" s="7" t="str">
        <f>IF($A79="","",Registro_Contenedores!J79)</f>
        <v/>
      </c>
      <c r="F79" s="7" t="str">
        <f>IF($A79="","",Registro_Contenedores!K79)</f>
        <v/>
      </c>
      <c r="G79" s="5"/>
      <c r="H79" s="5"/>
      <c r="I79" s="5"/>
      <c r="J79" s="9"/>
    </row>
    <row r="80" spans="1:10" x14ac:dyDescent="0.35">
      <c r="A80" s="7" t="str">
        <f>IF(Registro_Contenedores!A80="","",Registro_Contenedores!A80)</f>
        <v/>
      </c>
      <c r="B80" s="7" t="str">
        <f>IF($A80="","",Registro_Contenedores!B80)</f>
        <v/>
      </c>
      <c r="C80" s="7" t="str">
        <f>IF($A80="","",Registro_Contenedores!E80)</f>
        <v/>
      </c>
      <c r="D80" s="7" t="str">
        <f>IF($A80="","",Registro_Contenedores!H80)</f>
        <v/>
      </c>
      <c r="E80" s="7" t="str">
        <f>IF($A80="","",Registro_Contenedores!J80)</f>
        <v/>
      </c>
      <c r="F80" s="7" t="str">
        <f>IF($A80="","",Registro_Contenedores!K80)</f>
        <v/>
      </c>
      <c r="G80" s="5"/>
      <c r="H80" s="5"/>
      <c r="I80" s="5"/>
      <c r="J80" s="9"/>
    </row>
    <row r="81" spans="1:10" x14ac:dyDescent="0.35">
      <c r="A81" s="7" t="str">
        <f>IF(Registro_Contenedores!A81="","",Registro_Contenedores!A81)</f>
        <v/>
      </c>
      <c r="B81" s="7" t="str">
        <f>IF($A81="","",Registro_Contenedores!B81)</f>
        <v/>
      </c>
      <c r="C81" s="7" t="str">
        <f>IF($A81="","",Registro_Contenedores!E81)</f>
        <v/>
      </c>
      <c r="D81" s="7" t="str">
        <f>IF($A81="","",Registro_Contenedores!H81)</f>
        <v/>
      </c>
      <c r="E81" s="7" t="str">
        <f>IF($A81="","",Registro_Contenedores!J81)</f>
        <v/>
      </c>
      <c r="F81" s="7" t="str">
        <f>IF($A81="","",Registro_Contenedores!K81)</f>
        <v/>
      </c>
      <c r="G81" s="5"/>
      <c r="H81" s="5"/>
      <c r="I81" s="5"/>
      <c r="J81" s="9"/>
    </row>
    <row r="82" spans="1:10" x14ac:dyDescent="0.35">
      <c r="A82" s="7" t="str">
        <f>IF(Registro_Contenedores!A82="","",Registro_Contenedores!A82)</f>
        <v/>
      </c>
      <c r="B82" s="7" t="str">
        <f>IF($A82="","",Registro_Contenedores!B82)</f>
        <v/>
      </c>
      <c r="C82" s="7" t="str">
        <f>IF($A82="","",Registro_Contenedores!E82)</f>
        <v/>
      </c>
      <c r="D82" s="7" t="str">
        <f>IF($A82="","",Registro_Contenedores!H82)</f>
        <v/>
      </c>
      <c r="E82" s="7" t="str">
        <f>IF($A82="","",Registro_Contenedores!J82)</f>
        <v/>
      </c>
      <c r="F82" s="7" t="str">
        <f>IF($A82="","",Registro_Contenedores!K82)</f>
        <v/>
      </c>
      <c r="G82" s="5"/>
      <c r="H82" s="5"/>
      <c r="I82" s="5"/>
      <c r="J82" s="9"/>
    </row>
    <row r="83" spans="1:10" x14ac:dyDescent="0.35">
      <c r="A83" s="7" t="str">
        <f>IF(Registro_Contenedores!A83="","",Registro_Contenedores!A83)</f>
        <v/>
      </c>
      <c r="B83" s="7" t="str">
        <f>IF($A83="","",Registro_Contenedores!B83)</f>
        <v/>
      </c>
      <c r="C83" s="7" t="str">
        <f>IF($A83="","",Registro_Contenedores!E83)</f>
        <v/>
      </c>
      <c r="D83" s="7" t="str">
        <f>IF($A83="","",Registro_Contenedores!H83)</f>
        <v/>
      </c>
      <c r="E83" s="7" t="str">
        <f>IF($A83="","",Registro_Contenedores!J83)</f>
        <v/>
      </c>
      <c r="F83" s="7" t="str">
        <f>IF($A83="","",Registro_Contenedores!K83)</f>
        <v/>
      </c>
      <c r="G83" s="5"/>
      <c r="H83" s="5"/>
      <c r="I83" s="5"/>
      <c r="J83" s="9"/>
    </row>
    <row r="84" spans="1:10" x14ac:dyDescent="0.35">
      <c r="A84" s="7" t="str">
        <f>IF(Registro_Contenedores!A84="","",Registro_Contenedores!A84)</f>
        <v/>
      </c>
      <c r="B84" s="7" t="str">
        <f>IF($A84="","",Registro_Contenedores!B84)</f>
        <v/>
      </c>
      <c r="C84" s="7" t="str">
        <f>IF($A84="","",Registro_Contenedores!E84)</f>
        <v/>
      </c>
      <c r="D84" s="7" t="str">
        <f>IF($A84="","",Registro_Contenedores!H84)</f>
        <v/>
      </c>
      <c r="E84" s="7" t="str">
        <f>IF($A84="","",Registro_Contenedores!J84)</f>
        <v/>
      </c>
      <c r="F84" s="7" t="str">
        <f>IF($A84="","",Registro_Contenedores!K84)</f>
        <v/>
      </c>
      <c r="G84" s="5"/>
      <c r="H84" s="5"/>
      <c r="I84" s="5"/>
      <c r="J84" s="9"/>
    </row>
    <row r="85" spans="1:10" x14ac:dyDescent="0.35">
      <c r="A85" s="7" t="str">
        <f>IF(Registro_Contenedores!A85="","",Registro_Contenedores!A85)</f>
        <v/>
      </c>
      <c r="B85" s="7" t="str">
        <f>IF($A85="","",Registro_Contenedores!B85)</f>
        <v/>
      </c>
      <c r="C85" s="7" t="str">
        <f>IF($A85="","",Registro_Contenedores!E85)</f>
        <v/>
      </c>
      <c r="D85" s="7" t="str">
        <f>IF($A85="","",Registro_Contenedores!H85)</f>
        <v/>
      </c>
      <c r="E85" s="7" t="str">
        <f>IF($A85="","",Registro_Contenedores!J85)</f>
        <v/>
      </c>
      <c r="F85" s="7" t="str">
        <f>IF($A85="","",Registro_Contenedores!K85)</f>
        <v/>
      </c>
      <c r="G85" s="5"/>
      <c r="H85" s="5"/>
      <c r="I85" s="5"/>
      <c r="J85" s="9"/>
    </row>
    <row r="86" spans="1:10" x14ac:dyDescent="0.35">
      <c r="A86" s="7" t="str">
        <f>IF(Registro_Contenedores!A86="","",Registro_Contenedores!A86)</f>
        <v/>
      </c>
      <c r="B86" s="7" t="str">
        <f>IF($A86="","",Registro_Contenedores!B86)</f>
        <v/>
      </c>
      <c r="C86" s="7" t="str">
        <f>IF($A86="","",Registro_Contenedores!E86)</f>
        <v/>
      </c>
      <c r="D86" s="7" t="str">
        <f>IF($A86="","",Registro_Contenedores!H86)</f>
        <v/>
      </c>
      <c r="E86" s="7" t="str">
        <f>IF($A86="","",Registro_Contenedores!J86)</f>
        <v/>
      </c>
      <c r="F86" s="7" t="str">
        <f>IF($A86="","",Registro_Contenedores!K86)</f>
        <v/>
      </c>
      <c r="G86" s="5"/>
      <c r="H86" s="5"/>
      <c r="I86" s="5"/>
      <c r="J86" s="9"/>
    </row>
    <row r="87" spans="1:10" x14ac:dyDescent="0.35">
      <c r="A87" s="7" t="str">
        <f>IF(Registro_Contenedores!A87="","",Registro_Contenedores!A87)</f>
        <v/>
      </c>
      <c r="B87" s="7" t="str">
        <f>IF($A87="","",Registro_Contenedores!B87)</f>
        <v/>
      </c>
      <c r="C87" s="7" t="str">
        <f>IF($A87="","",Registro_Contenedores!E87)</f>
        <v/>
      </c>
      <c r="D87" s="7" t="str">
        <f>IF($A87="","",Registro_Contenedores!H87)</f>
        <v/>
      </c>
      <c r="E87" s="7" t="str">
        <f>IF($A87="","",Registro_Contenedores!J87)</f>
        <v/>
      </c>
      <c r="F87" s="7" t="str">
        <f>IF($A87="","",Registro_Contenedores!K87)</f>
        <v/>
      </c>
      <c r="G87" s="5"/>
      <c r="H87" s="5"/>
      <c r="I87" s="5"/>
      <c r="J87" s="9"/>
    </row>
    <row r="88" spans="1:10" x14ac:dyDescent="0.35">
      <c r="A88" s="7" t="str">
        <f>IF(Registro_Contenedores!A88="","",Registro_Contenedores!A88)</f>
        <v/>
      </c>
      <c r="B88" s="7" t="str">
        <f>IF($A88="","",Registro_Contenedores!B88)</f>
        <v/>
      </c>
      <c r="C88" s="7" t="str">
        <f>IF($A88="","",Registro_Contenedores!E88)</f>
        <v/>
      </c>
      <c r="D88" s="7" t="str">
        <f>IF($A88="","",Registro_Contenedores!H88)</f>
        <v/>
      </c>
      <c r="E88" s="7" t="str">
        <f>IF($A88="","",Registro_Contenedores!J88)</f>
        <v/>
      </c>
      <c r="F88" s="7" t="str">
        <f>IF($A88="","",Registro_Contenedores!K88)</f>
        <v/>
      </c>
      <c r="G88" s="5"/>
      <c r="H88" s="5"/>
      <c r="I88" s="5"/>
      <c r="J88" s="9"/>
    </row>
    <row r="89" spans="1:10" x14ac:dyDescent="0.35">
      <c r="A89" s="7" t="str">
        <f>IF(Registro_Contenedores!A89="","",Registro_Contenedores!A89)</f>
        <v/>
      </c>
      <c r="B89" s="7" t="str">
        <f>IF($A89="","",Registro_Contenedores!B89)</f>
        <v/>
      </c>
      <c r="C89" s="7" t="str">
        <f>IF($A89="","",Registro_Contenedores!E89)</f>
        <v/>
      </c>
      <c r="D89" s="7" t="str">
        <f>IF($A89="","",Registro_Contenedores!H89)</f>
        <v/>
      </c>
      <c r="E89" s="7" t="str">
        <f>IF($A89="","",Registro_Contenedores!J89)</f>
        <v/>
      </c>
      <c r="F89" s="7" t="str">
        <f>IF($A89="","",Registro_Contenedores!K89)</f>
        <v/>
      </c>
      <c r="G89" s="5"/>
      <c r="H89" s="5"/>
      <c r="I89" s="5"/>
      <c r="J89" s="9"/>
    </row>
    <row r="90" spans="1:10" x14ac:dyDescent="0.35">
      <c r="A90" s="7" t="str">
        <f>IF(Registro_Contenedores!A90="","",Registro_Contenedores!A90)</f>
        <v/>
      </c>
      <c r="B90" s="7" t="str">
        <f>IF($A90="","",Registro_Contenedores!B90)</f>
        <v/>
      </c>
      <c r="C90" s="7" t="str">
        <f>IF($A90="","",Registro_Contenedores!E90)</f>
        <v/>
      </c>
      <c r="D90" s="7" t="str">
        <f>IF($A90="","",Registro_Contenedores!H90)</f>
        <v/>
      </c>
      <c r="E90" s="7" t="str">
        <f>IF($A90="","",Registro_Contenedores!J90)</f>
        <v/>
      </c>
      <c r="F90" s="7" t="str">
        <f>IF($A90="","",Registro_Contenedores!K90)</f>
        <v/>
      </c>
      <c r="G90" s="5"/>
      <c r="H90" s="5"/>
      <c r="I90" s="5"/>
      <c r="J90" s="9"/>
    </row>
    <row r="91" spans="1:10" x14ac:dyDescent="0.35">
      <c r="A91" s="7" t="str">
        <f>IF(Registro_Contenedores!A91="","",Registro_Contenedores!A91)</f>
        <v/>
      </c>
      <c r="B91" s="7" t="str">
        <f>IF($A91="","",Registro_Contenedores!B91)</f>
        <v/>
      </c>
      <c r="C91" s="7" t="str">
        <f>IF($A91="","",Registro_Contenedores!E91)</f>
        <v/>
      </c>
      <c r="D91" s="7" t="str">
        <f>IF($A91="","",Registro_Contenedores!H91)</f>
        <v/>
      </c>
      <c r="E91" s="7" t="str">
        <f>IF($A91="","",Registro_Contenedores!J91)</f>
        <v/>
      </c>
      <c r="F91" s="7" t="str">
        <f>IF($A91="","",Registro_Contenedores!K91)</f>
        <v/>
      </c>
      <c r="G91" s="5"/>
      <c r="H91" s="5"/>
      <c r="I91" s="5"/>
      <c r="J91" s="9"/>
    </row>
    <row r="92" spans="1:10" x14ac:dyDescent="0.35">
      <c r="A92" s="7" t="str">
        <f>IF(Registro_Contenedores!A92="","",Registro_Contenedores!A92)</f>
        <v/>
      </c>
      <c r="B92" s="7" t="str">
        <f>IF($A92="","",Registro_Contenedores!B92)</f>
        <v/>
      </c>
      <c r="C92" s="7" t="str">
        <f>IF($A92="","",Registro_Contenedores!E92)</f>
        <v/>
      </c>
      <c r="D92" s="7" t="str">
        <f>IF($A92="","",Registro_Contenedores!H92)</f>
        <v/>
      </c>
      <c r="E92" s="7" t="str">
        <f>IF($A92="","",Registro_Contenedores!J92)</f>
        <v/>
      </c>
      <c r="F92" s="7" t="str">
        <f>IF($A92="","",Registro_Contenedores!K92)</f>
        <v/>
      </c>
      <c r="G92" s="5"/>
      <c r="H92" s="5"/>
      <c r="I92" s="5"/>
      <c r="J92" s="9"/>
    </row>
    <row r="93" spans="1:10" x14ac:dyDescent="0.35">
      <c r="A93" s="7" t="str">
        <f>IF(Registro_Contenedores!A93="","",Registro_Contenedores!A93)</f>
        <v/>
      </c>
      <c r="B93" s="7" t="str">
        <f>IF($A93="","",Registro_Contenedores!B93)</f>
        <v/>
      </c>
      <c r="C93" s="7" t="str">
        <f>IF($A93="","",Registro_Contenedores!E93)</f>
        <v/>
      </c>
      <c r="D93" s="7" t="str">
        <f>IF($A93="","",Registro_Contenedores!H93)</f>
        <v/>
      </c>
      <c r="E93" s="7" t="str">
        <f>IF($A93="","",Registro_Contenedores!J93)</f>
        <v/>
      </c>
      <c r="F93" s="7" t="str">
        <f>IF($A93="","",Registro_Contenedores!K93)</f>
        <v/>
      </c>
      <c r="G93" s="5"/>
      <c r="H93" s="5"/>
      <c r="I93" s="5"/>
      <c r="J93" s="9"/>
    </row>
    <row r="94" spans="1:10" x14ac:dyDescent="0.35">
      <c r="A94" s="7" t="str">
        <f>IF(Registro_Contenedores!A94="","",Registro_Contenedores!A94)</f>
        <v/>
      </c>
      <c r="B94" s="7" t="str">
        <f>IF($A94="","",Registro_Contenedores!B94)</f>
        <v/>
      </c>
      <c r="C94" s="7" t="str">
        <f>IF($A94="","",Registro_Contenedores!E94)</f>
        <v/>
      </c>
      <c r="D94" s="7" t="str">
        <f>IF($A94="","",Registro_Contenedores!H94)</f>
        <v/>
      </c>
      <c r="E94" s="7" t="str">
        <f>IF($A94="","",Registro_Contenedores!J94)</f>
        <v/>
      </c>
      <c r="F94" s="7" t="str">
        <f>IF($A94="","",Registro_Contenedores!K94)</f>
        <v/>
      </c>
      <c r="G94" s="5"/>
      <c r="H94" s="5"/>
      <c r="I94" s="5"/>
      <c r="J94" s="9"/>
    </row>
    <row r="95" spans="1:10" x14ac:dyDescent="0.35">
      <c r="A95" s="7" t="str">
        <f>IF(Registro_Contenedores!A95="","",Registro_Contenedores!A95)</f>
        <v/>
      </c>
      <c r="B95" s="7" t="str">
        <f>IF($A95="","",Registro_Contenedores!B95)</f>
        <v/>
      </c>
      <c r="C95" s="7" t="str">
        <f>IF($A95="","",Registro_Contenedores!E95)</f>
        <v/>
      </c>
      <c r="D95" s="7" t="str">
        <f>IF($A95="","",Registro_Contenedores!H95)</f>
        <v/>
      </c>
      <c r="E95" s="7" t="str">
        <f>IF($A95="","",Registro_Contenedores!J95)</f>
        <v/>
      </c>
      <c r="F95" s="7" t="str">
        <f>IF($A95="","",Registro_Contenedores!K95)</f>
        <v/>
      </c>
      <c r="G95" s="5"/>
      <c r="H95" s="5"/>
      <c r="I95" s="5"/>
      <c r="J95" s="9"/>
    </row>
    <row r="96" spans="1:10" x14ac:dyDescent="0.35">
      <c r="A96" s="7" t="str">
        <f>IF(Registro_Contenedores!A96="","",Registro_Contenedores!A96)</f>
        <v/>
      </c>
      <c r="B96" s="7" t="str">
        <f>IF($A96="","",Registro_Contenedores!B96)</f>
        <v/>
      </c>
      <c r="C96" s="7" t="str">
        <f>IF($A96="","",Registro_Contenedores!E96)</f>
        <v/>
      </c>
      <c r="D96" s="7" t="str">
        <f>IF($A96="","",Registro_Contenedores!H96)</f>
        <v/>
      </c>
      <c r="E96" s="7" t="str">
        <f>IF($A96="","",Registro_Contenedores!J96)</f>
        <v/>
      </c>
      <c r="F96" s="7" t="str">
        <f>IF($A96="","",Registro_Contenedores!K96)</f>
        <v/>
      </c>
      <c r="G96" s="5"/>
      <c r="H96" s="5"/>
      <c r="I96" s="5"/>
      <c r="J96" s="9"/>
    </row>
    <row r="97" spans="1:10" x14ac:dyDescent="0.35">
      <c r="A97" s="7" t="str">
        <f>IF(Registro_Contenedores!A97="","",Registro_Contenedores!A97)</f>
        <v/>
      </c>
      <c r="B97" s="7" t="str">
        <f>IF($A97="","",Registro_Contenedores!B97)</f>
        <v/>
      </c>
      <c r="C97" s="7" t="str">
        <f>IF($A97="","",Registro_Contenedores!E97)</f>
        <v/>
      </c>
      <c r="D97" s="7" t="str">
        <f>IF($A97="","",Registro_Contenedores!H97)</f>
        <v/>
      </c>
      <c r="E97" s="7" t="str">
        <f>IF($A97="","",Registro_Contenedores!J97)</f>
        <v/>
      </c>
      <c r="F97" s="7" t="str">
        <f>IF($A97="","",Registro_Contenedores!K97)</f>
        <v/>
      </c>
      <c r="G97" s="5"/>
      <c r="H97" s="5"/>
      <c r="I97" s="5"/>
      <c r="J97" s="9"/>
    </row>
    <row r="98" spans="1:10" x14ac:dyDescent="0.35">
      <c r="A98" s="7" t="str">
        <f>IF(Registro_Contenedores!A98="","",Registro_Contenedores!A98)</f>
        <v/>
      </c>
      <c r="B98" s="7" t="str">
        <f>IF($A98="","",Registro_Contenedores!B98)</f>
        <v/>
      </c>
      <c r="C98" s="7" t="str">
        <f>IF($A98="","",Registro_Contenedores!E98)</f>
        <v/>
      </c>
      <c r="D98" s="7" t="str">
        <f>IF($A98="","",Registro_Contenedores!H98)</f>
        <v/>
      </c>
      <c r="E98" s="7" t="str">
        <f>IF($A98="","",Registro_Contenedores!J98)</f>
        <v/>
      </c>
      <c r="F98" s="7" t="str">
        <f>IF($A98="","",Registro_Contenedores!K98)</f>
        <v/>
      </c>
      <c r="G98" s="5"/>
      <c r="H98" s="5"/>
      <c r="I98" s="5"/>
      <c r="J98" s="9"/>
    </row>
    <row r="99" spans="1:10" x14ac:dyDescent="0.35">
      <c r="A99" s="7" t="str">
        <f>IF(Registro_Contenedores!A99="","",Registro_Contenedores!A99)</f>
        <v/>
      </c>
      <c r="B99" s="7" t="str">
        <f>IF($A99="","",Registro_Contenedores!B99)</f>
        <v/>
      </c>
      <c r="C99" s="7" t="str">
        <f>IF($A99="","",Registro_Contenedores!E99)</f>
        <v/>
      </c>
      <c r="D99" s="7" t="str">
        <f>IF($A99="","",Registro_Contenedores!H99)</f>
        <v/>
      </c>
      <c r="E99" s="7" t="str">
        <f>IF($A99="","",Registro_Contenedores!J99)</f>
        <v/>
      </c>
      <c r="F99" s="7" t="str">
        <f>IF($A99="","",Registro_Contenedores!K99)</f>
        <v/>
      </c>
      <c r="G99" s="5"/>
      <c r="H99" s="5"/>
      <c r="I99" s="5"/>
      <c r="J99" s="9"/>
    </row>
    <row r="100" spans="1:10" x14ac:dyDescent="0.35">
      <c r="A100" s="7" t="str">
        <f>IF(Registro_Contenedores!A100="","",Registro_Contenedores!A100)</f>
        <v/>
      </c>
      <c r="B100" s="7" t="str">
        <f>IF($A100="","",Registro_Contenedores!B100)</f>
        <v/>
      </c>
      <c r="C100" s="7" t="str">
        <f>IF($A100="","",Registro_Contenedores!E100)</f>
        <v/>
      </c>
      <c r="D100" s="7" t="str">
        <f>IF($A100="","",Registro_Contenedores!H100)</f>
        <v/>
      </c>
      <c r="E100" s="7" t="str">
        <f>IF($A100="","",Registro_Contenedores!J100)</f>
        <v/>
      </c>
      <c r="F100" s="7" t="str">
        <f>IF($A100="","",Registro_Contenedores!K100)</f>
        <v/>
      </c>
      <c r="G100" s="5"/>
      <c r="H100" s="5"/>
      <c r="I100" s="5"/>
      <c r="J100" s="9"/>
    </row>
    <row r="101" spans="1:10" x14ac:dyDescent="0.35">
      <c r="A101" s="7" t="str">
        <f>IF(Registro_Contenedores!A101="","",Registro_Contenedores!A101)</f>
        <v/>
      </c>
      <c r="B101" s="7" t="str">
        <f>IF($A101="","",Registro_Contenedores!B101)</f>
        <v/>
      </c>
      <c r="C101" s="7" t="str">
        <f>IF($A101="","",Registro_Contenedores!E101)</f>
        <v/>
      </c>
      <c r="D101" s="7" t="str">
        <f>IF($A101="","",Registro_Contenedores!H101)</f>
        <v/>
      </c>
      <c r="E101" s="7" t="str">
        <f>IF($A101="","",Registro_Contenedores!J101)</f>
        <v/>
      </c>
      <c r="F101" s="7" t="str">
        <f>IF($A101="","",Registro_Contenedores!K101)</f>
        <v/>
      </c>
      <c r="G101" s="5"/>
      <c r="H101" s="5"/>
      <c r="I101" s="5"/>
      <c r="J101" s="9"/>
    </row>
    <row r="102" spans="1:10" x14ac:dyDescent="0.35">
      <c r="A102" s="7" t="str">
        <f>IF(Registro_Contenedores!A102="","",Registro_Contenedores!A102)</f>
        <v/>
      </c>
      <c r="B102" s="7" t="str">
        <f>IF($A102="","",Registro_Contenedores!B102)</f>
        <v/>
      </c>
      <c r="C102" s="7" t="str">
        <f>IF($A102="","",Registro_Contenedores!E102)</f>
        <v/>
      </c>
      <c r="D102" s="7" t="str">
        <f>IF($A102="","",Registro_Contenedores!H102)</f>
        <v/>
      </c>
      <c r="E102" s="7" t="str">
        <f>IF($A102="","",Registro_Contenedores!J102)</f>
        <v/>
      </c>
      <c r="F102" s="7" t="str">
        <f>IF($A102="","",Registro_Contenedores!K102)</f>
        <v/>
      </c>
      <c r="G102" s="5"/>
      <c r="H102" s="5"/>
      <c r="I102" s="5"/>
      <c r="J102" s="9"/>
    </row>
    <row r="103" spans="1:10" x14ac:dyDescent="0.35">
      <c r="A103" s="7" t="str">
        <f>IF(Registro_Contenedores!A103="","",Registro_Contenedores!A103)</f>
        <v/>
      </c>
      <c r="B103" s="7" t="str">
        <f>IF($A103="","",Registro_Contenedores!B103)</f>
        <v/>
      </c>
      <c r="C103" s="7" t="str">
        <f>IF($A103="","",Registro_Contenedores!E103)</f>
        <v/>
      </c>
      <c r="D103" s="7" t="str">
        <f>IF($A103="","",Registro_Contenedores!H103)</f>
        <v/>
      </c>
      <c r="E103" s="7" t="str">
        <f>IF($A103="","",Registro_Contenedores!J103)</f>
        <v/>
      </c>
      <c r="F103" s="7" t="str">
        <f>IF($A103="","",Registro_Contenedores!K103)</f>
        <v/>
      </c>
      <c r="G103" s="5"/>
      <c r="H103" s="5"/>
      <c r="I103" s="5"/>
      <c r="J103" s="9"/>
    </row>
    <row r="104" spans="1:10" x14ac:dyDescent="0.35">
      <c r="A104" s="7" t="str">
        <f>IF(Registro_Contenedores!A104="","",Registro_Contenedores!A104)</f>
        <v/>
      </c>
      <c r="B104" s="7" t="str">
        <f>IF($A104="","",Registro_Contenedores!B104)</f>
        <v/>
      </c>
      <c r="C104" s="7" t="str">
        <f>IF($A104="","",Registro_Contenedores!E104)</f>
        <v/>
      </c>
      <c r="D104" s="7" t="str">
        <f>IF($A104="","",Registro_Contenedores!H104)</f>
        <v/>
      </c>
      <c r="E104" s="7" t="str">
        <f>IF($A104="","",Registro_Contenedores!J104)</f>
        <v/>
      </c>
      <c r="F104" s="7" t="str">
        <f>IF($A104="","",Registro_Contenedores!K104)</f>
        <v/>
      </c>
      <c r="G104" s="5"/>
      <c r="H104" s="5"/>
      <c r="I104" s="5"/>
      <c r="J104" s="9"/>
    </row>
    <row r="105" spans="1:10" x14ac:dyDescent="0.35">
      <c r="A105" s="7" t="str">
        <f>IF(Registro_Contenedores!A105="","",Registro_Contenedores!A105)</f>
        <v/>
      </c>
      <c r="B105" s="7" t="str">
        <f>IF($A105="","",Registro_Contenedores!B105)</f>
        <v/>
      </c>
      <c r="C105" s="7" t="str">
        <f>IF($A105="","",Registro_Contenedores!E105)</f>
        <v/>
      </c>
      <c r="D105" s="7" t="str">
        <f>IF($A105="","",Registro_Contenedores!H105)</f>
        <v/>
      </c>
      <c r="E105" s="7" t="str">
        <f>IF($A105="","",Registro_Contenedores!J105)</f>
        <v/>
      </c>
      <c r="F105" s="7" t="str">
        <f>IF($A105="","",Registro_Contenedores!K105)</f>
        <v/>
      </c>
      <c r="G105" s="5"/>
      <c r="H105" s="5"/>
      <c r="I105" s="5"/>
      <c r="J105" s="9"/>
    </row>
    <row r="106" spans="1:10" x14ac:dyDescent="0.35">
      <c r="A106" s="7" t="str">
        <f>IF(Registro_Contenedores!A106="","",Registro_Contenedores!A106)</f>
        <v/>
      </c>
      <c r="B106" s="7" t="str">
        <f>IF($A106="","",Registro_Contenedores!B106)</f>
        <v/>
      </c>
      <c r="C106" s="7" t="str">
        <f>IF($A106="","",Registro_Contenedores!E106)</f>
        <v/>
      </c>
      <c r="D106" s="7" t="str">
        <f>IF($A106="","",Registro_Contenedores!H106)</f>
        <v/>
      </c>
      <c r="E106" s="7" t="str">
        <f>IF($A106="","",Registro_Contenedores!J106)</f>
        <v/>
      </c>
      <c r="F106" s="7" t="str">
        <f>IF($A106="","",Registro_Contenedores!K106)</f>
        <v/>
      </c>
      <c r="G106" s="5"/>
      <c r="H106" s="5"/>
      <c r="I106" s="5"/>
      <c r="J106" s="9"/>
    </row>
    <row r="107" spans="1:10" x14ac:dyDescent="0.35">
      <c r="A107" s="7" t="str">
        <f>IF(Registro_Contenedores!A107="","",Registro_Contenedores!A107)</f>
        <v/>
      </c>
      <c r="B107" s="7" t="str">
        <f>IF($A107="","",Registro_Contenedores!B107)</f>
        <v/>
      </c>
      <c r="C107" s="7" t="str">
        <f>IF($A107="","",Registro_Contenedores!E107)</f>
        <v/>
      </c>
      <c r="D107" s="7" t="str">
        <f>IF($A107="","",Registro_Contenedores!H107)</f>
        <v/>
      </c>
      <c r="E107" s="7" t="str">
        <f>IF($A107="","",Registro_Contenedores!J107)</f>
        <v/>
      </c>
      <c r="F107" s="7" t="str">
        <f>IF($A107="","",Registro_Contenedores!K107)</f>
        <v/>
      </c>
      <c r="G107" s="5"/>
      <c r="H107" s="5"/>
      <c r="I107" s="5"/>
      <c r="J107" s="9"/>
    </row>
    <row r="108" spans="1:10" x14ac:dyDescent="0.35">
      <c r="A108" s="7" t="str">
        <f>IF(Registro_Contenedores!A108="","",Registro_Contenedores!A108)</f>
        <v/>
      </c>
      <c r="B108" s="7" t="str">
        <f>IF($A108="","",Registro_Contenedores!B108)</f>
        <v/>
      </c>
      <c r="C108" s="7" t="str">
        <f>IF($A108="","",Registro_Contenedores!E108)</f>
        <v/>
      </c>
      <c r="D108" s="7" t="str">
        <f>IF($A108="","",Registro_Contenedores!H108)</f>
        <v/>
      </c>
      <c r="E108" s="7" t="str">
        <f>IF($A108="","",Registro_Contenedores!J108)</f>
        <v/>
      </c>
      <c r="F108" s="7" t="str">
        <f>IF($A108="","",Registro_Contenedores!K108)</f>
        <v/>
      </c>
      <c r="G108" s="5"/>
      <c r="H108" s="5"/>
      <c r="I108" s="5"/>
      <c r="J108" s="9"/>
    </row>
    <row r="109" spans="1:10" x14ac:dyDescent="0.35">
      <c r="A109" s="7" t="str">
        <f>IF(Registro_Contenedores!A109="","",Registro_Contenedores!A109)</f>
        <v/>
      </c>
      <c r="B109" s="7" t="str">
        <f>IF($A109="","",Registro_Contenedores!B109)</f>
        <v/>
      </c>
      <c r="C109" s="7" t="str">
        <f>IF($A109="","",Registro_Contenedores!E109)</f>
        <v/>
      </c>
      <c r="D109" s="7" t="str">
        <f>IF($A109="","",Registro_Contenedores!H109)</f>
        <v/>
      </c>
      <c r="E109" s="7" t="str">
        <f>IF($A109="","",Registro_Contenedores!J109)</f>
        <v/>
      </c>
      <c r="F109" s="7" t="str">
        <f>IF($A109="","",Registro_Contenedores!K109)</f>
        <v/>
      </c>
      <c r="G109" s="5"/>
      <c r="H109" s="5"/>
      <c r="I109" s="5"/>
      <c r="J109" s="9"/>
    </row>
    <row r="110" spans="1:10" x14ac:dyDescent="0.35">
      <c r="A110" s="7" t="str">
        <f>IF(Registro_Contenedores!A110="","",Registro_Contenedores!A110)</f>
        <v/>
      </c>
      <c r="B110" s="7" t="str">
        <f>IF($A110="","",Registro_Contenedores!B110)</f>
        <v/>
      </c>
      <c r="C110" s="7" t="str">
        <f>IF($A110="","",Registro_Contenedores!E110)</f>
        <v/>
      </c>
      <c r="D110" s="7" t="str">
        <f>IF($A110="","",Registro_Contenedores!H110)</f>
        <v/>
      </c>
      <c r="E110" s="7" t="str">
        <f>IF($A110="","",Registro_Contenedores!J110)</f>
        <v/>
      </c>
      <c r="F110" s="7" t="str">
        <f>IF($A110="","",Registro_Contenedores!K110)</f>
        <v/>
      </c>
      <c r="G110" s="5"/>
      <c r="H110" s="5"/>
      <c r="I110" s="5"/>
      <c r="J110" s="9"/>
    </row>
    <row r="111" spans="1:10" x14ac:dyDescent="0.35">
      <c r="A111" s="7" t="str">
        <f>IF(Registro_Contenedores!A111="","",Registro_Contenedores!A111)</f>
        <v/>
      </c>
      <c r="B111" s="7" t="str">
        <f>IF($A111="","",Registro_Contenedores!B111)</f>
        <v/>
      </c>
      <c r="C111" s="7" t="str">
        <f>IF($A111="","",Registro_Contenedores!E111)</f>
        <v/>
      </c>
      <c r="D111" s="7" t="str">
        <f>IF($A111="","",Registro_Contenedores!H111)</f>
        <v/>
      </c>
      <c r="E111" s="7" t="str">
        <f>IF($A111="","",Registro_Contenedores!J111)</f>
        <v/>
      </c>
      <c r="F111" s="7" t="str">
        <f>IF($A111="","",Registro_Contenedores!K111)</f>
        <v/>
      </c>
      <c r="G111" s="5"/>
      <c r="H111" s="5"/>
      <c r="I111" s="5"/>
      <c r="J111" s="9"/>
    </row>
    <row r="112" spans="1:10" x14ac:dyDescent="0.35">
      <c r="A112" s="7" t="str">
        <f>IF(Registro_Contenedores!A112="","",Registro_Contenedores!A112)</f>
        <v/>
      </c>
      <c r="B112" s="7" t="str">
        <f>IF($A112="","",Registro_Contenedores!B112)</f>
        <v/>
      </c>
      <c r="C112" s="7" t="str">
        <f>IF($A112="","",Registro_Contenedores!E112)</f>
        <v/>
      </c>
      <c r="D112" s="7" t="str">
        <f>IF($A112="","",Registro_Contenedores!H112)</f>
        <v/>
      </c>
      <c r="E112" s="7" t="str">
        <f>IF($A112="","",Registro_Contenedores!J112)</f>
        <v/>
      </c>
      <c r="F112" s="7" t="str">
        <f>IF($A112="","",Registro_Contenedores!K112)</f>
        <v/>
      </c>
      <c r="G112" s="5"/>
      <c r="H112" s="5"/>
      <c r="I112" s="5"/>
      <c r="J112" s="9"/>
    </row>
    <row r="113" spans="1:10" x14ac:dyDescent="0.35">
      <c r="A113" s="7" t="str">
        <f>IF(Registro_Contenedores!A113="","",Registro_Contenedores!A113)</f>
        <v/>
      </c>
      <c r="B113" s="7" t="str">
        <f>IF($A113="","",Registro_Contenedores!B113)</f>
        <v/>
      </c>
      <c r="C113" s="7" t="str">
        <f>IF($A113="","",Registro_Contenedores!E113)</f>
        <v/>
      </c>
      <c r="D113" s="7" t="str">
        <f>IF($A113="","",Registro_Contenedores!H113)</f>
        <v/>
      </c>
      <c r="E113" s="7" t="str">
        <f>IF($A113="","",Registro_Contenedores!J113)</f>
        <v/>
      </c>
      <c r="F113" s="7" t="str">
        <f>IF($A113="","",Registro_Contenedores!K113)</f>
        <v/>
      </c>
      <c r="G113" s="5"/>
      <c r="H113" s="5"/>
      <c r="I113" s="5"/>
      <c r="J113" s="9"/>
    </row>
    <row r="114" spans="1:10" x14ac:dyDescent="0.35">
      <c r="A114" s="7" t="str">
        <f>IF(Registro_Contenedores!A114="","",Registro_Contenedores!A114)</f>
        <v/>
      </c>
      <c r="B114" s="7" t="str">
        <f>IF($A114="","",Registro_Contenedores!B114)</f>
        <v/>
      </c>
      <c r="C114" s="7" t="str">
        <f>IF($A114="","",Registro_Contenedores!E114)</f>
        <v/>
      </c>
      <c r="D114" s="7" t="str">
        <f>IF($A114="","",Registro_Contenedores!H114)</f>
        <v/>
      </c>
      <c r="E114" s="7" t="str">
        <f>IF($A114="","",Registro_Contenedores!J114)</f>
        <v/>
      </c>
      <c r="F114" s="7" t="str">
        <f>IF($A114="","",Registro_Contenedores!K114)</f>
        <v/>
      </c>
      <c r="G114" s="5"/>
      <c r="H114" s="5"/>
      <c r="I114" s="5"/>
      <c r="J114" s="9"/>
    </row>
    <row r="115" spans="1:10" x14ac:dyDescent="0.35">
      <c r="A115" s="7" t="str">
        <f>IF(Registro_Contenedores!A115="","",Registro_Contenedores!A115)</f>
        <v/>
      </c>
      <c r="B115" s="7" t="str">
        <f>IF($A115="","",Registro_Contenedores!B115)</f>
        <v/>
      </c>
      <c r="C115" s="7" t="str">
        <f>IF($A115="","",Registro_Contenedores!E115)</f>
        <v/>
      </c>
      <c r="D115" s="7" t="str">
        <f>IF($A115="","",Registro_Contenedores!H115)</f>
        <v/>
      </c>
      <c r="E115" s="7" t="str">
        <f>IF($A115="","",Registro_Contenedores!J115)</f>
        <v/>
      </c>
      <c r="F115" s="7" t="str">
        <f>IF($A115="","",Registro_Contenedores!K115)</f>
        <v/>
      </c>
      <c r="G115" s="5"/>
      <c r="H115" s="5"/>
      <c r="I115" s="5"/>
      <c r="J115" s="9"/>
    </row>
    <row r="116" spans="1:10" x14ac:dyDescent="0.35">
      <c r="A116" s="7" t="str">
        <f>IF(Registro_Contenedores!A116="","",Registro_Contenedores!A116)</f>
        <v/>
      </c>
      <c r="B116" s="7" t="str">
        <f>IF($A116="","",Registro_Contenedores!B116)</f>
        <v/>
      </c>
      <c r="C116" s="7" t="str">
        <f>IF($A116="","",Registro_Contenedores!E116)</f>
        <v/>
      </c>
      <c r="D116" s="7" t="str">
        <f>IF($A116="","",Registro_Contenedores!H116)</f>
        <v/>
      </c>
      <c r="E116" s="7" t="str">
        <f>IF($A116="","",Registro_Contenedores!J116)</f>
        <v/>
      </c>
      <c r="F116" s="7" t="str">
        <f>IF($A116="","",Registro_Contenedores!K116)</f>
        <v/>
      </c>
      <c r="G116" s="5"/>
      <c r="H116" s="5"/>
      <c r="I116" s="5"/>
      <c r="J116" s="9"/>
    </row>
    <row r="117" spans="1:10" x14ac:dyDescent="0.35">
      <c r="A117" s="7" t="str">
        <f>IF(Registro_Contenedores!A117="","",Registro_Contenedores!A117)</f>
        <v/>
      </c>
      <c r="B117" s="7" t="str">
        <f>IF($A117="","",Registro_Contenedores!B117)</f>
        <v/>
      </c>
      <c r="C117" s="7" t="str">
        <f>IF($A117="","",Registro_Contenedores!E117)</f>
        <v/>
      </c>
      <c r="D117" s="7" t="str">
        <f>IF($A117="","",Registro_Contenedores!H117)</f>
        <v/>
      </c>
      <c r="E117" s="7" t="str">
        <f>IF($A117="","",Registro_Contenedores!J117)</f>
        <v/>
      </c>
      <c r="F117" s="7" t="str">
        <f>IF($A117="","",Registro_Contenedores!K117)</f>
        <v/>
      </c>
      <c r="G117" s="5"/>
      <c r="H117" s="5"/>
      <c r="I117" s="5"/>
      <c r="J117" s="9"/>
    </row>
    <row r="118" spans="1:10" x14ac:dyDescent="0.35">
      <c r="A118" s="7" t="str">
        <f>IF(Registro_Contenedores!A118="","",Registro_Contenedores!A118)</f>
        <v/>
      </c>
      <c r="B118" s="7" t="str">
        <f>IF($A118="","",Registro_Contenedores!B118)</f>
        <v/>
      </c>
      <c r="C118" s="7" t="str">
        <f>IF($A118="","",Registro_Contenedores!E118)</f>
        <v/>
      </c>
      <c r="D118" s="7" t="str">
        <f>IF($A118="","",Registro_Contenedores!H118)</f>
        <v/>
      </c>
      <c r="E118" s="7" t="str">
        <f>IF($A118="","",Registro_Contenedores!J118)</f>
        <v/>
      </c>
      <c r="F118" s="7" t="str">
        <f>IF($A118="","",Registro_Contenedores!K118)</f>
        <v/>
      </c>
      <c r="G118" s="5"/>
      <c r="H118" s="5"/>
      <c r="I118" s="5"/>
      <c r="J118" s="9"/>
    </row>
    <row r="119" spans="1:10" x14ac:dyDescent="0.35">
      <c r="A119" s="7" t="str">
        <f>IF(Registro_Contenedores!A119="","",Registro_Contenedores!A119)</f>
        <v/>
      </c>
      <c r="B119" s="7" t="str">
        <f>IF($A119="","",Registro_Contenedores!B119)</f>
        <v/>
      </c>
      <c r="C119" s="7" t="str">
        <f>IF($A119="","",Registro_Contenedores!E119)</f>
        <v/>
      </c>
      <c r="D119" s="7" t="str">
        <f>IF($A119="","",Registro_Contenedores!H119)</f>
        <v/>
      </c>
      <c r="E119" s="7" t="str">
        <f>IF($A119="","",Registro_Contenedores!J119)</f>
        <v/>
      </c>
      <c r="F119" s="7" t="str">
        <f>IF($A119="","",Registro_Contenedores!K119)</f>
        <v/>
      </c>
      <c r="G119" s="5"/>
      <c r="H119" s="5"/>
      <c r="I119" s="5"/>
      <c r="J119" s="9"/>
    </row>
    <row r="120" spans="1:10" x14ac:dyDescent="0.35">
      <c r="A120" s="7" t="str">
        <f>IF(Registro_Contenedores!A120="","",Registro_Contenedores!A120)</f>
        <v/>
      </c>
      <c r="B120" s="7" t="str">
        <f>IF($A120="","",Registro_Contenedores!B120)</f>
        <v/>
      </c>
      <c r="C120" s="7" t="str">
        <f>IF($A120="","",Registro_Contenedores!E120)</f>
        <v/>
      </c>
      <c r="D120" s="7" t="str">
        <f>IF($A120="","",Registro_Contenedores!H120)</f>
        <v/>
      </c>
      <c r="E120" s="7" t="str">
        <f>IF($A120="","",Registro_Contenedores!J120)</f>
        <v/>
      </c>
      <c r="F120" s="7" t="str">
        <f>IF($A120="","",Registro_Contenedores!K120)</f>
        <v/>
      </c>
      <c r="G120" s="5"/>
      <c r="H120" s="5"/>
      <c r="I120" s="5"/>
      <c r="J120" s="9"/>
    </row>
    <row r="121" spans="1:10" x14ac:dyDescent="0.35">
      <c r="A121" s="7" t="str">
        <f>IF(Registro_Contenedores!A121="","",Registro_Contenedores!A121)</f>
        <v/>
      </c>
      <c r="B121" s="7" t="str">
        <f>IF($A121="","",Registro_Contenedores!B121)</f>
        <v/>
      </c>
      <c r="C121" s="7" t="str">
        <f>IF($A121="","",Registro_Contenedores!E121)</f>
        <v/>
      </c>
      <c r="D121" s="7" t="str">
        <f>IF($A121="","",Registro_Contenedores!H121)</f>
        <v/>
      </c>
      <c r="E121" s="7" t="str">
        <f>IF($A121="","",Registro_Contenedores!J121)</f>
        <v/>
      </c>
      <c r="F121" s="7" t="str">
        <f>IF($A121="","",Registro_Contenedores!K121)</f>
        <v/>
      </c>
      <c r="G121" s="5"/>
      <c r="H121" s="5"/>
      <c r="I121" s="5"/>
      <c r="J121" s="9"/>
    </row>
    <row r="122" spans="1:10" x14ac:dyDescent="0.35">
      <c r="A122" s="7" t="str">
        <f>IF(Registro_Contenedores!A122="","",Registro_Contenedores!A122)</f>
        <v/>
      </c>
      <c r="B122" s="7" t="str">
        <f>IF($A122="","",Registro_Contenedores!B122)</f>
        <v/>
      </c>
      <c r="C122" s="7" t="str">
        <f>IF($A122="","",Registro_Contenedores!E122)</f>
        <v/>
      </c>
      <c r="D122" s="7" t="str">
        <f>IF($A122="","",Registro_Contenedores!H122)</f>
        <v/>
      </c>
      <c r="E122" s="7" t="str">
        <f>IF($A122="","",Registro_Contenedores!J122)</f>
        <v/>
      </c>
      <c r="F122" s="7" t="str">
        <f>IF($A122="","",Registro_Contenedores!K122)</f>
        <v/>
      </c>
      <c r="G122" s="5"/>
      <c r="H122" s="5"/>
      <c r="I122" s="5"/>
      <c r="J122" s="9"/>
    </row>
    <row r="123" spans="1:10" x14ac:dyDescent="0.35">
      <c r="A123" s="7" t="str">
        <f>IF(Registro_Contenedores!A123="","",Registro_Contenedores!A123)</f>
        <v/>
      </c>
      <c r="B123" s="7" t="str">
        <f>IF($A123="","",Registro_Contenedores!B123)</f>
        <v/>
      </c>
      <c r="C123" s="7" t="str">
        <f>IF($A123="","",Registro_Contenedores!E123)</f>
        <v/>
      </c>
      <c r="D123" s="7" t="str">
        <f>IF($A123="","",Registro_Contenedores!H123)</f>
        <v/>
      </c>
      <c r="E123" s="7" t="str">
        <f>IF($A123="","",Registro_Contenedores!J123)</f>
        <v/>
      </c>
      <c r="F123" s="7" t="str">
        <f>IF($A123="","",Registro_Contenedores!K123)</f>
        <v/>
      </c>
      <c r="G123" s="5"/>
      <c r="H123" s="5"/>
      <c r="I123" s="5"/>
      <c r="J123" s="9"/>
    </row>
    <row r="124" spans="1:10" x14ac:dyDescent="0.35">
      <c r="A124" s="7" t="str">
        <f>IF(Registro_Contenedores!A124="","",Registro_Contenedores!A124)</f>
        <v/>
      </c>
      <c r="B124" s="7" t="str">
        <f>IF($A124="","",Registro_Contenedores!B124)</f>
        <v/>
      </c>
      <c r="C124" s="7" t="str">
        <f>IF($A124="","",Registro_Contenedores!E124)</f>
        <v/>
      </c>
      <c r="D124" s="7" t="str">
        <f>IF($A124="","",Registro_Contenedores!H124)</f>
        <v/>
      </c>
      <c r="E124" s="7" t="str">
        <f>IF($A124="","",Registro_Contenedores!J124)</f>
        <v/>
      </c>
      <c r="F124" s="7" t="str">
        <f>IF($A124="","",Registro_Contenedores!K124)</f>
        <v/>
      </c>
      <c r="G124" s="5"/>
      <c r="H124" s="5"/>
      <c r="I124" s="5"/>
      <c r="J124" s="9"/>
    </row>
    <row r="125" spans="1:10" x14ac:dyDescent="0.35">
      <c r="A125" s="7" t="str">
        <f>IF(Registro_Contenedores!A125="","",Registro_Contenedores!A125)</f>
        <v/>
      </c>
      <c r="B125" s="7" t="str">
        <f>IF($A125="","",Registro_Contenedores!B125)</f>
        <v/>
      </c>
      <c r="C125" s="7" t="str">
        <f>IF($A125="","",Registro_Contenedores!E125)</f>
        <v/>
      </c>
      <c r="D125" s="7" t="str">
        <f>IF($A125="","",Registro_Contenedores!H125)</f>
        <v/>
      </c>
      <c r="E125" s="7" t="str">
        <f>IF($A125="","",Registro_Contenedores!J125)</f>
        <v/>
      </c>
      <c r="F125" s="7" t="str">
        <f>IF($A125="","",Registro_Contenedores!K125)</f>
        <v/>
      </c>
      <c r="G125" s="5"/>
      <c r="H125" s="5"/>
      <c r="I125" s="5"/>
      <c r="J125" s="9"/>
    </row>
    <row r="126" spans="1:10" x14ac:dyDescent="0.35">
      <c r="A126" s="7" t="str">
        <f>IF(Registro_Contenedores!A126="","",Registro_Contenedores!A126)</f>
        <v/>
      </c>
      <c r="B126" s="7" t="str">
        <f>IF($A126="","",Registro_Contenedores!B126)</f>
        <v/>
      </c>
      <c r="C126" s="7" t="str">
        <f>IF($A126="","",Registro_Contenedores!E126)</f>
        <v/>
      </c>
      <c r="D126" s="7" t="str">
        <f>IF($A126="","",Registro_Contenedores!H126)</f>
        <v/>
      </c>
      <c r="E126" s="7" t="str">
        <f>IF($A126="","",Registro_Contenedores!J126)</f>
        <v/>
      </c>
      <c r="F126" s="7" t="str">
        <f>IF($A126="","",Registro_Contenedores!K126)</f>
        <v/>
      </c>
      <c r="G126" s="5"/>
      <c r="H126" s="5"/>
      <c r="I126" s="5"/>
      <c r="J126" s="9"/>
    </row>
    <row r="127" spans="1:10" x14ac:dyDescent="0.35">
      <c r="A127" s="7" t="str">
        <f>IF(Registro_Contenedores!A127="","",Registro_Contenedores!A127)</f>
        <v/>
      </c>
      <c r="B127" s="7" t="str">
        <f>IF($A127="","",Registro_Contenedores!B127)</f>
        <v/>
      </c>
      <c r="C127" s="7" t="str">
        <f>IF($A127="","",Registro_Contenedores!E127)</f>
        <v/>
      </c>
      <c r="D127" s="7" t="str">
        <f>IF($A127="","",Registro_Contenedores!H127)</f>
        <v/>
      </c>
      <c r="E127" s="7" t="str">
        <f>IF($A127="","",Registro_Contenedores!J127)</f>
        <v/>
      </c>
      <c r="F127" s="7" t="str">
        <f>IF($A127="","",Registro_Contenedores!K127)</f>
        <v/>
      </c>
      <c r="G127" s="5"/>
      <c r="H127" s="5"/>
      <c r="I127" s="5"/>
      <c r="J127" s="9"/>
    </row>
    <row r="128" spans="1:10" x14ac:dyDescent="0.35">
      <c r="A128" s="7" t="str">
        <f>IF(Registro_Contenedores!A128="","",Registro_Contenedores!A128)</f>
        <v/>
      </c>
      <c r="B128" s="7" t="str">
        <f>IF($A128="","",Registro_Contenedores!B128)</f>
        <v/>
      </c>
      <c r="C128" s="7" t="str">
        <f>IF($A128="","",Registro_Contenedores!E128)</f>
        <v/>
      </c>
      <c r="D128" s="7" t="str">
        <f>IF($A128="","",Registro_Contenedores!H128)</f>
        <v/>
      </c>
      <c r="E128" s="7" t="str">
        <f>IF($A128="","",Registro_Contenedores!J128)</f>
        <v/>
      </c>
      <c r="F128" s="7" t="str">
        <f>IF($A128="","",Registro_Contenedores!K128)</f>
        <v/>
      </c>
      <c r="G128" s="5"/>
      <c r="H128" s="5"/>
      <c r="I128" s="5"/>
      <c r="J128" s="9"/>
    </row>
    <row r="129" spans="1:10" x14ac:dyDescent="0.35">
      <c r="A129" s="7" t="str">
        <f>IF(Registro_Contenedores!A129="","",Registro_Contenedores!A129)</f>
        <v/>
      </c>
      <c r="B129" s="7" t="str">
        <f>IF($A129="","",Registro_Contenedores!B129)</f>
        <v/>
      </c>
      <c r="C129" s="7" t="str">
        <f>IF($A129="","",Registro_Contenedores!E129)</f>
        <v/>
      </c>
      <c r="D129" s="7" t="str">
        <f>IF($A129="","",Registro_Contenedores!H129)</f>
        <v/>
      </c>
      <c r="E129" s="7" t="str">
        <f>IF($A129="","",Registro_Contenedores!J129)</f>
        <v/>
      </c>
      <c r="F129" s="7" t="str">
        <f>IF($A129="","",Registro_Contenedores!K129)</f>
        <v/>
      </c>
      <c r="G129" s="5"/>
      <c r="H129" s="5"/>
      <c r="I129" s="5"/>
      <c r="J129" s="9"/>
    </row>
    <row r="130" spans="1:10" x14ac:dyDescent="0.35">
      <c r="A130" s="7" t="str">
        <f>IF(Registro_Contenedores!A130="","",Registro_Contenedores!A130)</f>
        <v/>
      </c>
      <c r="B130" s="7" t="str">
        <f>IF($A130="","",Registro_Contenedores!B130)</f>
        <v/>
      </c>
      <c r="C130" s="7" t="str">
        <f>IF($A130="","",Registro_Contenedores!E130)</f>
        <v/>
      </c>
      <c r="D130" s="7" t="str">
        <f>IF($A130="","",Registro_Contenedores!H130)</f>
        <v/>
      </c>
      <c r="E130" s="7" t="str">
        <f>IF($A130="","",Registro_Contenedores!J130)</f>
        <v/>
      </c>
      <c r="F130" s="7" t="str">
        <f>IF($A130="","",Registro_Contenedores!K130)</f>
        <v/>
      </c>
      <c r="G130" s="5"/>
      <c r="H130" s="5"/>
      <c r="I130" s="5"/>
      <c r="J130" s="9"/>
    </row>
    <row r="131" spans="1:10" x14ac:dyDescent="0.35">
      <c r="A131" s="7" t="str">
        <f>IF(Registro_Contenedores!A131="","",Registro_Contenedores!A131)</f>
        <v/>
      </c>
      <c r="B131" s="7" t="str">
        <f>IF($A131="","",Registro_Contenedores!B131)</f>
        <v/>
      </c>
      <c r="C131" s="7" t="str">
        <f>IF($A131="","",Registro_Contenedores!E131)</f>
        <v/>
      </c>
      <c r="D131" s="7" t="str">
        <f>IF($A131="","",Registro_Contenedores!H131)</f>
        <v/>
      </c>
      <c r="E131" s="7" t="str">
        <f>IF($A131="","",Registro_Contenedores!J131)</f>
        <v/>
      </c>
      <c r="F131" s="7" t="str">
        <f>IF($A131="","",Registro_Contenedores!K131)</f>
        <v/>
      </c>
      <c r="G131" s="5"/>
      <c r="H131" s="5"/>
      <c r="I131" s="5"/>
      <c r="J131" s="9"/>
    </row>
    <row r="132" spans="1:10" x14ac:dyDescent="0.35">
      <c r="A132" s="7" t="str">
        <f>IF(Registro_Contenedores!A132="","",Registro_Contenedores!A132)</f>
        <v/>
      </c>
      <c r="B132" s="7" t="str">
        <f>IF($A132="","",Registro_Contenedores!B132)</f>
        <v/>
      </c>
      <c r="C132" s="7" t="str">
        <f>IF($A132="","",Registro_Contenedores!E132)</f>
        <v/>
      </c>
      <c r="D132" s="7" t="str">
        <f>IF($A132="","",Registro_Contenedores!H132)</f>
        <v/>
      </c>
      <c r="E132" s="7" t="str">
        <f>IF($A132="","",Registro_Contenedores!J132)</f>
        <v/>
      </c>
      <c r="F132" s="7" t="str">
        <f>IF($A132="","",Registro_Contenedores!K132)</f>
        <v/>
      </c>
      <c r="G132" s="5"/>
      <c r="H132" s="5"/>
      <c r="I132" s="5"/>
      <c r="J132" s="9"/>
    </row>
    <row r="133" spans="1:10" x14ac:dyDescent="0.35">
      <c r="A133" s="7" t="str">
        <f>IF(Registro_Contenedores!A133="","",Registro_Contenedores!A133)</f>
        <v/>
      </c>
      <c r="B133" s="7" t="str">
        <f>IF($A133="","",Registro_Contenedores!B133)</f>
        <v/>
      </c>
      <c r="C133" s="7" t="str">
        <f>IF($A133="","",Registro_Contenedores!E133)</f>
        <v/>
      </c>
      <c r="D133" s="7" t="str">
        <f>IF($A133="","",Registro_Contenedores!H133)</f>
        <v/>
      </c>
      <c r="E133" s="7" t="str">
        <f>IF($A133="","",Registro_Contenedores!J133)</f>
        <v/>
      </c>
      <c r="F133" s="7" t="str">
        <f>IF($A133="","",Registro_Contenedores!K133)</f>
        <v/>
      </c>
      <c r="G133" s="5"/>
      <c r="H133" s="5"/>
      <c r="I133" s="5"/>
      <c r="J133" s="9"/>
    </row>
    <row r="134" spans="1:10" x14ac:dyDescent="0.35">
      <c r="A134" s="7" t="str">
        <f>IF(Registro_Contenedores!A134="","",Registro_Contenedores!A134)</f>
        <v/>
      </c>
      <c r="B134" s="7" t="str">
        <f>IF($A134="","",Registro_Contenedores!B134)</f>
        <v/>
      </c>
      <c r="C134" s="7" t="str">
        <f>IF($A134="","",Registro_Contenedores!E134)</f>
        <v/>
      </c>
      <c r="D134" s="7" t="str">
        <f>IF($A134="","",Registro_Contenedores!H134)</f>
        <v/>
      </c>
      <c r="E134" s="7" t="str">
        <f>IF($A134="","",Registro_Contenedores!J134)</f>
        <v/>
      </c>
      <c r="F134" s="7" t="str">
        <f>IF($A134="","",Registro_Contenedores!K134)</f>
        <v/>
      </c>
      <c r="G134" s="5"/>
      <c r="H134" s="5"/>
      <c r="I134" s="5"/>
      <c r="J134" s="9"/>
    </row>
    <row r="135" spans="1:10" x14ac:dyDescent="0.35">
      <c r="A135" s="7" t="str">
        <f>IF(Registro_Contenedores!A135="","",Registro_Contenedores!A135)</f>
        <v/>
      </c>
      <c r="B135" s="7" t="str">
        <f>IF($A135="","",Registro_Contenedores!B135)</f>
        <v/>
      </c>
      <c r="C135" s="7" t="str">
        <f>IF($A135="","",Registro_Contenedores!E135)</f>
        <v/>
      </c>
      <c r="D135" s="7" t="str">
        <f>IF($A135="","",Registro_Contenedores!H135)</f>
        <v/>
      </c>
      <c r="E135" s="7" t="str">
        <f>IF($A135="","",Registro_Contenedores!J135)</f>
        <v/>
      </c>
      <c r="F135" s="7" t="str">
        <f>IF($A135="","",Registro_Contenedores!K135)</f>
        <v/>
      </c>
      <c r="G135" s="5"/>
      <c r="H135" s="5"/>
      <c r="I135" s="5"/>
      <c r="J135" s="9"/>
    </row>
    <row r="136" spans="1:10" x14ac:dyDescent="0.35">
      <c r="A136" s="7" t="str">
        <f>IF(Registro_Contenedores!A136="","",Registro_Contenedores!A136)</f>
        <v/>
      </c>
      <c r="B136" s="7" t="str">
        <f>IF($A136="","",Registro_Contenedores!B136)</f>
        <v/>
      </c>
      <c r="C136" s="7" t="str">
        <f>IF($A136="","",Registro_Contenedores!E136)</f>
        <v/>
      </c>
      <c r="D136" s="7" t="str">
        <f>IF($A136="","",Registro_Contenedores!H136)</f>
        <v/>
      </c>
      <c r="E136" s="7" t="str">
        <f>IF($A136="","",Registro_Contenedores!J136)</f>
        <v/>
      </c>
      <c r="F136" s="7" t="str">
        <f>IF($A136="","",Registro_Contenedores!K136)</f>
        <v/>
      </c>
      <c r="G136" s="5"/>
      <c r="H136" s="5"/>
      <c r="I136" s="5"/>
      <c r="J136" s="9"/>
    </row>
    <row r="137" spans="1:10" x14ac:dyDescent="0.35">
      <c r="A137" s="7" t="str">
        <f>IF(Registro_Contenedores!A137="","",Registro_Contenedores!A137)</f>
        <v/>
      </c>
      <c r="B137" s="7" t="str">
        <f>IF($A137="","",Registro_Contenedores!B137)</f>
        <v/>
      </c>
      <c r="C137" s="7" t="str">
        <f>IF($A137="","",Registro_Contenedores!E137)</f>
        <v/>
      </c>
      <c r="D137" s="7" t="str">
        <f>IF($A137="","",Registro_Contenedores!H137)</f>
        <v/>
      </c>
      <c r="E137" s="7" t="str">
        <f>IF($A137="","",Registro_Contenedores!J137)</f>
        <v/>
      </c>
      <c r="F137" s="7" t="str">
        <f>IF($A137="","",Registro_Contenedores!K137)</f>
        <v/>
      </c>
      <c r="G137" s="5"/>
      <c r="H137" s="5"/>
      <c r="I137" s="5"/>
      <c r="J137" s="9"/>
    </row>
    <row r="138" spans="1:10" x14ac:dyDescent="0.35">
      <c r="A138" s="7" t="str">
        <f>IF(Registro_Contenedores!A138="","",Registro_Contenedores!A138)</f>
        <v/>
      </c>
      <c r="B138" s="7" t="str">
        <f>IF($A138="","",Registro_Contenedores!B138)</f>
        <v/>
      </c>
      <c r="C138" s="7" t="str">
        <f>IF($A138="","",Registro_Contenedores!E138)</f>
        <v/>
      </c>
      <c r="D138" s="7" t="str">
        <f>IF($A138="","",Registro_Contenedores!H138)</f>
        <v/>
      </c>
      <c r="E138" s="7" t="str">
        <f>IF($A138="","",Registro_Contenedores!J138)</f>
        <v/>
      </c>
      <c r="F138" s="7" t="str">
        <f>IF($A138="","",Registro_Contenedores!K138)</f>
        <v/>
      </c>
      <c r="G138" s="5"/>
      <c r="H138" s="5"/>
      <c r="I138" s="5"/>
      <c r="J138" s="9"/>
    </row>
    <row r="139" spans="1:10" x14ac:dyDescent="0.35">
      <c r="A139" s="7" t="str">
        <f>IF(Registro_Contenedores!A139="","",Registro_Contenedores!A139)</f>
        <v/>
      </c>
      <c r="B139" s="7" t="str">
        <f>IF($A139="","",Registro_Contenedores!B139)</f>
        <v/>
      </c>
      <c r="C139" s="7" t="str">
        <f>IF($A139="","",Registro_Contenedores!E139)</f>
        <v/>
      </c>
      <c r="D139" s="7" t="str">
        <f>IF($A139="","",Registro_Contenedores!H139)</f>
        <v/>
      </c>
      <c r="E139" s="7" t="str">
        <f>IF($A139="","",Registro_Contenedores!J139)</f>
        <v/>
      </c>
      <c r="F139" s="7" t="str">
        <f>IF($A139="","",Registro_Contenedores!K139)</f>
        <v/>
      </c>
      <c r="G139" s="5"/>
      <c r="H139" s="5"/>
      <c r="I139" s="5"/>
      <c r="J139" s="9"/>
    </row>
    <row r="140" spans="1:10" x14ac:dyDescent="0.35">
      <c r="A140" s="7" t="str">
        <f>IF(Registro_Contenedores!A140="","",Registro_Contenedores!A140)</f>
        <v/>
      </c>
      <c r="B140" s="7" t="str">
        <f>IF($A140="","",Registro_Contenedores!B140)</f>
        <v/>
      </c>
      <c r="C140" s="7" t="str">
        <f>IF($A140="","",Registro_Contenedores!E140)</f>
        <v/>
      </c>
      <c r="D140" s="7" t="str">
        <f>IF($A140="","",Registro_Contenedores!H140)</f>
        <v/>
      </c>
      <c r="E140" s="7" t="str">
        <f>IF($A140="","",Registro_Contenedores!J140)</f>
        <v/>
      </c>
      <c r="F140" s="7" t="str">
        <f>IF($A140="","",Registro_Contenedores!K140)</f>
        <v/>
      </c>
      <c r="G140" s="5"/>
      <c r="H140" s="5"/>
      <c r="I140" s="5"/>
      <c r="J140" s="9"/>
    </row>
    <row r="141" spans="1:10" x14ac:dyDescent="0.35">
      <c r="A141" s="7" t="str">
        <f>IF(Registro_Contenedores!A141="","",Registro_Contenedores!A141)</f>
        <v/>
      </c>
      <c r="B141" s="7" t="str">
        <f>IF($A141="","",Registro_Contenedores!B141)</f>
        <v/>
      </c>
      <c r="C141" s="7" t="str">
        <f>IF($A141="","",Registro_Contenedores!E141)</f>
        <v/>
      </c>
      <c r="D141" s="7" t="str">
        <f>IF($A141="","",Registro_Contenedores!H141)</f>
        <v/>
      </c>
      <c r="E141" s="7" t="str">
        <f>IF($A141="","",Registro_Contenedores!J141)</f>
        <v/>
      </c>
      <c r="F141" s="7" t="str">
        <f>IF($A141="","",Registro_Contenedores!K141)</f>
        <v/>
      </c>
      <c r="G141" s="5"/>
      <c r="H141" s="5"/>
      <c r="I141" s="5"/>
      <c r="J141" s="9"/>
    </row>
    <row r="142" spans="1:10" x14ac:dyDescent="0.35">
      <c r="A142" s="7" t="str">
        <f>IF(Registro_Contenedores!A142="","",Registro_Contenedores!A142)</f>
        <v/>
      </c>
      <c r="B142" s="7" t="str">
        <f>IF($A142="","",Registro_Contenedores!B142)</f>
        <v/>
      </c>
      <c r="C142" s="7" t="str">
        <f>IF($A142="","",Registro_Contenedores!E142)</f>
        <v/>
      </c>
      <c r="D142" s="7" t="str">
        <f>IF($A142="","",Registro_Contenedores!H142)</f>
        <v/>
      </c>
      <c r="E142" s="7" t="str">
        <f>IF($A142="","",Registro_Contenedores!J142)</f>
        <v/>
      </c>
      <c r="F142" s="7" t="str">
        <f>IF($A142="","",Registro_Contenedores!K142)</f>
        <v/>
      </c>
      <c r="G142" s="5"/>
      <c r="H142" s="5"/>
      <c r="I142" s="5"/>
      <c r="J142" s="9"/>
    </row>
    <row r="143" spans="1:10" x14ac:dyDescent="0.35">
      <c r="A143" s="7" t="str">
        <f>IF(Registro_Contenedores!A143="","",Registro_Contenedores!A143)</f>
        <v/>
      </c>
      <c r="B143" s="7" t="str">
        <f>IF($A143="","",Registro_Contenedores!B143)</f>
        <v/>
      </c>
      <c r="C143" s="7" t="str">
        <f>IF($A143="","",Registro_Contenedores!E143)</f>
        <v/>
      </c>
      <c r="D143" s="7" t="str">
        <f>IF($A143="","",Registro_Contenedores!H143)</f>
        <v/>
      </c>
      <c r="E143" s="7" t="str">
        <f>IF($A143="","",Registro_Contenedores!J143)</f>
        <v/>
      </c>
      <c r="F143" s="7" t="str">
        <f>IF($A143="","",Registro_Contenedores!K143)</f>
        <v/>
      </c>
      <c r="G143" s="5"/>
      <c r="H143" s="5"/>
      <c r="I143" s="5"/>
      <c r="J143" s="9"/>
    </row>
    <row r="144" spans="1:10" x14ac:dyDescent="0.35">
      <c r="A144" s="7" t="str">
        <f>IF(Registro_Contenedores!A144="","",Registro_Contenedores!A144)</f>
        <v/>
      </c>
      <c r="B144" s="7" t="str">
        <f>IF($A144="","",Registro_Contenedores!B144)</f>
        <v/>
      </c>
      <c r="C144" s="7" t="str">
        <f>IF($A144="","",Registro_Contenedores!E144)</f>
        <v/>
      </c>
      <c r="D144" s="7" t="str">
        <f>IF($A144="","",Registro_Contenedores!H144)</f>
        <v/>
      </c>
      <c r="E144" s="7" t="str">
        <f>IF($A144="","",Registro_Contenedores!J144)</f>
        <v/>
      </c>
      <c r="F144" s="7" t="str">
        <f>IF($A144="","",Registro_Contenedores!K144)</f>
        <v/>
      </c>
      <c r="G144" s="5"/>
      <c r="H144" s="5"/>
      <c r="I144" s="5"/>
      <c r="J144" s="9"/>
    </row>
    <row r="145" spans="1:10" x14ac:dyDescent="0.35">
      <c r="A145" s="7" t="str">
        <f>IF(Registro_Contenedores!A145="","",Registro_Contenedores!A145)</f>
        <v/>
      </c>
      <c r="B145" s="7" t="str">
        <f>IF($A145="","",Registro_Contenedores!B145)</f>
        <v/>
      </c>
      <c r="C145" s="7" t="str">
        <f>IF($A145="","",Registro_Contenedores!E145)</f>
        <v/>
      </c>
      <c r="D145" s="7" t="str">
        <f>IF($A145="","",Registro_Contenedores!H145)</f>
        <v/>
      </c>
      <c r="E145" s="7" t="str">
        <f>IF($A145="","",Registro_Contenedores!J145)</f>
        <v/>
      </c>
      <c r="F145" s="7" t="str">
        <f>IF($A145="","",Registro_Contenedores!K145)</f>
        <v/>
      </c>
      <c r="G145" s="5"/>
      <c r="H145" s="5"/>
      <c r="I145" s="5"/>
      <c r="J145" s="9"/>
    </row>
    <row r="146" spans="1:10" x14ac:dyDescent="0.35">
      <c r="A146" s="7" t="str">
        <f>IF(Registro_Contenedores!A146="","",Registro_Contenedores!A146)</f>
        <v/>
      </c>
      <c r="B146" s="7" t="str">
        <f>IF($A146="","",Registro_Contenedores!B146)</f>
        <v/>
      </c>
      <c r="C146" s="7" t="str">
        <f>IF($A146="","",Registro_Contenedores!E146)</f>
        <v/>
      </c>
      <c r="D146" s="7" t="str">
        <f>IF($A146="","",Registro_Contenedores!H146)</f>
        <v/>
      </c>
      <c r="E146" s="7" t="str">
        <f>IF($A146="","",Registro_Contenedores!J146)</f>
        <v/>
      </c>
      <c r="F146" s="7" t="str">
        <f>IF($A146="","",Registro_Contenedores!K146)</f>
        <v/>
      </c>
      <c r="G146" s="5"/>
      <c r="H146" s="5"/>
      <c r="I146" s="5"/>
      <c r="J146" s="9"/>
    </row>
    <row r="147" spans="1:10" x14ac:dyDescent="0.35">
      <c r="A147" s="7" t="str">
        <f>IF(Registro_Contenedores!A147="","",Registro_Contenedores!A147)</f>
        <v/>
      </c>
      <c r="B147" s="7" t="str">
        <f>IF($A147="","",Registro_Contenedores!B147)</f>
        <v/>
      </c>
      <c r="C147" s="7" t="str">
        <f>IF($A147="","",Registro_Contenedores!E147)</f>
        <v/>
      </c>
      <c r="D147" s="7" t="str">
        <f>IF($A147="","",Registro_Contenedores!H147)</f>
        <v/>
      </c>
      <c r="E147" s="7" t="str">
        <f>IF($A147="","",Registro_Contenedores!J147)</f>
        <v/>
      </c>
      <c r="F147" s="7" t="str">
        <f>IF($A147="","",Registro_Contenedores!K147)</f>
        <v/>
      </c>
      <c r="G147" s="5"/>
      <c r="H147" s="5"/>
      <c r="I147" s="5"/>
      <c r="J147" s="9"/>
    </row>
    <row r="148" spans="1:10" x14ac:dyDescent="0.35">
      <c r="A148" s="7" t="str">
        <f>IF(Registro_Contenedores!A148="","",Registro_Contenedores!A148)</f>
        <v/>
      </c>
      <c r="B148" s="7" t="str">
        <f>IF($A148="","",Registro_Contenedores!B148)</f>
        <v/>
      </c>
      <c r="C148" s="7" t="str">
        <f>IF($A148="","",Registro_Contenedores!E148)</f>
        <v/>
      </c>
      <c r="D148" s="7" t="str">
        <f>IF($A148="","",Registro_Contenedores!H148)</f>
        <v/>
      </c>
      <c r="E148" s="7" t="str">
        <f>IF($A148="","",Registro_Contenedores!J148)</f>
        <v/>
      </c>
      <c r="F148" s="7" t="str">
        <f>IF($A148="","",Registro_Contenedores!K148)</f>
        <v/>
      </c>
      <c r="G148" s="5"/>
      <c r="H148" s="5"/>
      <c r="I148" s="5"/>
      <c r="J148" s="9"/>
    </row>
    <row r="149" spans="1:10" x14ac:dyDescent="0.35">
      <c r="A149" s="7" t="str">
        <f>IF(Registro_Contenedores!A149="","",Registro_Contenedores!A149)</f>
        <v/>
      </c>
      <c r="B149" s="7" t="str">
        <f>IF($A149="","",Registro_Contenedores!B149)</f>
        <v/>
      </c>
      <c r="C149" s="7" t="str">
        <f>IF($A149="","",Registro_Contenedores!E149)</f>
        <v/>
      </c>
      <c r="D149" s="7" t="str">
        <f>IF($A149="","",Registro_Contenedores!H149)</f>
        <v/>
      </c>
      <c r="E149" s="7" t="str">
        <f>IF($A149="","",Registro_Contenedores!J149)</f>
        <v/>
      </c>
      <c r="F149" s="7" t="str">
        <f>IF($A149="","",Registro_Contenedores!K149)</f>
        <v/>
      </c>
      <c r="G149" s="5"/>
      <c r="H149" s="5"/>
      <c r="I149" s="5"/>
      <c r="J149" s="9"/>
    </row>
    <row r="150" spans="1:10" x14ac:dyDescent="0.35">
      <c r="A150" s="7" t="str">
        <f>IF(Registro_Contenedores!A150="","",Registro_Contenedores!A150)</f>
        <v/>
      </c>
      <c r="B150" s="7" t="str">
        <f>IF($A150="","",Registro_Contenedores!B150)</f>
        <v/>
      </c>
      <c r="C150" s="7" t="str">
        <f>IF($A150="","",Registro_Contenedores!E150)</f>
        <v/>
      </c>
      <c r="D150" s="7" t="str">
        <f>IF($A150="","",Registro_Contenedores!H150)</f>
        <v/>
      </c>
      <c r="E150" s="7" t="str">
        <f>IF($A150="","",Registro_Contenedores!J150)</f>
        <v/>
      </c>
      <c r="F150" s="7" t="str">
        <f>IF($A150="","",Registro_Contenedores!K150)</f>
        <v/>
      </c>
      <c r="G150" s="5"/>
      <c r="H150" s="5"/>
      <c r="I150" s="5"/>
      <c r="J150" s="9"/>
    </row>
    <row r="151" spans="1:10" x14ac:dyDescent="0.35">
      <c r="A151" s="7" t="str">
        <f>IF(Registro_Contenedores!A151="","",Registro_Contenedores!A151)</f>
        <v/>
      </c>
      <c r="B151" s="7" t="str">
        <f>IF($A151="","",Registro_Contenedores!B151)</f>
        <v/>
      </c>
      <c r="C151" s="7" t="str">
        <f>IF($A151="","",Registro_Contenedores!E151)</f>
        <v/>
      </c>
      <c r="D151" s="7" t="str">
        <f>IF($A151="","",Registro_Contenedores!H151)</f>
        <v/>
      </c>
      <c r="E151" s="7" t="str">
        <f>IF($A151="","",Registro_Contenedores!J151)</f>
        <v/>
      </c>
      <c r="F151" s="7" t="str">
        <f>IF($A151="","",Registro_Contenedores!K151)</f>
        <v/>
      </c>
      <c r="G151" s="5"/>
      <c r="H151" s="5"/>
      <c r="I151" s="5"/>
      <c r="J151" s="9"/>
    </row>
    <row r="152" spans="1:10" x14ac:dyDescent="0.35">
      <c r="A152" s="7" t="str">
        <f>IF(Registro_Contenedores!A152="","",Registro_Contenedores!A152)</f>
        <v/>
      </c>
      <c r="B152" s="7" t="str">
        <f>IF($A152="","",Registro_Contenedores!B152)</f>
        <v/>
      </c>
      <c r="C152" s="7" t="str">
        <f>IF($A152="","",Registro_Contenedores!E152)</f>
        <v/>
      </c>
      <c r="D152" s="7" t="str">
        <f>IF($A152="","",Registro_Contenedores!H152)</f>
        <v/>
      </c>
      <c r="E152" s="7" t="str">
        <f>IF($A152="","",Registro_Contenedores!J152)</f>
        <v/>
      </c>
      <c r="F152" s="7" t="str">
        <f>IF($A152="","",Registro_Contenedores!K152)</f>
        <v/>
      </c>
      <c r="G152" s="5"/>
      <c r="H152" s="5"/>
      <c r="I152" s="5"/>
      <c r="J152" s="9"/>
    </row>
    <row r="153" spans="1:10" x14ac:dyDescent="0.35">
      <c r="A153" s="7" t="str">
        <f>IF(Registro_Contenedores!A153="","",Registro_Contenedores!A153)</f>
        <v/>
      </c>
      <c r="B153" s="7" t="str">
        <f>IF($A153="","",Registro_Contenedores!B153)</f>
        <v/>
      </c>
      <c r="C153" s="7" t="str">
        <f>IF($A153="","",Registro_Contenedores!E153)</f>
        <v/>
      </c>
      <c r="D153" s="7" t="str">
        <f>IF($A153="","",Registro_Contenedores!H153)</f>
        <v/>
      </c>
      <c r="E153" s="7" t="str">
        <f>IF($A153="","",Registro_Contenedores!J153)</f>
        <v/>
      </c>
      <c r="F153" s="7" t="str">
        <f>IF($A153="","",Registro_Contenedores!K153)</f>
        <v/>
      </c>
      <c r="G153" s="5"/>
      <c r="H153" s="5"/>
      <c r="I153" s="5"/>
      <c r="J153" s="9"/>
    </row>
    <row r="154" spans="1:10" x14ac:dyDescent="0.35">
      <c r="A154" s="7" t="str">
        <f>IF(Registro_Contenedores!A154="","",Registro_Contenedores!A154)</f>
        <v/>
      </c>
      <c r="B154" s="7" t="str">
        <f>IF($A154="","",Registro_Contenedores!B154)</f>
        <v/>
      </c>
      <c r="C154" s="7" t="str">
        <f>IF($A154="","",Registro_Contenedores!E154)</f>
        <v/>
      </c>
      <c r="D154" s="7" t="str">
        <f>IF($A154="","",Registro_Contenedores!H154)</f>
        <v/>
      </c>
      <c r="E154" s="7" t="str">
        <f>IF($A154="","",Registro_Contenedores!J154)</f>
        <v/>
      </c>
      <c r="F154" s="7" t="str">
        <f>IF($A154="","",Registro_Contenedores!K154)</f>
        <v/>
      </c>
      <c r="G154" s="5"/>
      <c r="H154" s="5"/>
      <c r="I154" s="5"/>
      <c r="J154" s="9"/>
    </row>
    <row r="155" spans="1:10" x14ac:dyDescent="0.35">
      <c r="A155" s="7" t="str">
        <f>IF(Registro_Contenedores!A155="","",Registro_Contenedores!A155)</f>
        <v/>
      </c>
      <c r="B155" s="7" t="str">
        <f>IF($A155="","",Registro_Contenedores!B155)</f>
        <v/>
      </c>
      <c r="C155" s="7" t="str">
        <f>IF($A155="","",Registro_Contenedores!E155)</f>
        <v/>
      </c>
      <c r="D155" s="7" t="str">
        <f>IF($A155="","",Registro_Contenedores!H155)</f>
        <v/>
      </c>
      <c r="E155" s="7" t="str">
        <f>IF($A155="","",Registro_Contenedores!J155)</f>
        <v/>
      </c>
      <c r="F155" s="7" t="str">
        <f>IF($A155="","",Registro_Contenedores!K155)</f>
        <v/>
      </c>
      <c r="G155" s="5"/>
      <c r="H155" s="5"/>
      <c r="I155" s="5"/>
      <c r="J155" s="9"/>
    </row>
    <row r="156" spans="1:10" x14ac:dyDescent="0.35">
      <c r="A156" s="7" t="str">
        <f>IF(Registro_Contenedores!A156="","",Registro_Contenedores!A156)</f>
        <v/>
      </c>
      <c r="B156" s="7" t="str">
        <f>IF($A156="","",Registro_Contenedores!B156)</f>
        <v/>
      </c>
      <c r="C156" s="7" t="str">
        <f>IF($A156="","",Registro_Contenedores!E156)</f>
        <v/>
      </c>
      <c r="D156" s="7" t="str">
        <f>IF($A156="","",Registro_Contenedores!H156)</f>
        <v/>
      </c>
      <c r="E156" s="7" t="str">
        <f>IF($A156="","",Registro_Contenedores!J156)</f>
        <v/>
      </c>
      <c r="F156" s="7" t="str">
        <f>IF($A156="","",Registro_Contenedores!K156)</f>
        <v/>
      </c>
      <c r="G156" s="5"/>
      <c r="H156" s="5"/>
      <c r="I156" s="5"/>
      <c r="J156" s="9"/>
    </row>
    <row r="157" spans="1:10" x14ac:dyDescent="0.35">
      <c r="A157" s="7" t="str">
        <f>IF(Registro_Contenedores!A157="","",Registro_Contenedores!A157)</f>
        <v/>
      </c>
      <c r="B157" s="7" t="str">
        <f>IF($A157="","",Registro_Contenedores!B157)</f>
        <v/>
      </c>
      <c r="C157" s="7" t="str">
        <f>IF($A157="","",Registro_Contenedores!E157)</f>
        <v/>
      </c>
      <c r="D157" s="7" t="str">
        <f>IF($A157="","",Registro_Contenedores!H157)</f>
        <v/>
      </c>
      <c r="E157" s="7" t="str">
        <f>IF($A157="","",Registro_Contenedores!J157)</f>
        <v/>
      </c>
      <c r="F157" s="7" t="str">
        <f>IF($A157="","",Registro_Contenedores!K157)</f>
        <v/>
      </c>
      <c r="G157" s="5"/>
      <c r="H157" s="5"/>
      <c r="I157" s="5"/>
      <c r="J157" s="9"/>
    </row>
    <row r="158" spans="1:10" x14ac:dyDescent="0.35">
      <c r="A158" s="7" t="str">
        <f>IF(Registro_Contenedores!A158="","",Registro_Contenedores!A158)</f>
        <v/>
      </c>
      <c r="B158" s="7" t="str">
        <f>IF($A158="","",Registro_Contenedores!B158)</f>
        <v/>
      </c>
      <c r="C158" s="7" t="str">
        <f>IF($A158="","",Registro_Contenedores!E158)</f>
        <v/>
      </c>
      <c r="D158" s="7" t="str">
        <f>IF($A158="","",Registro_Contenedores!H158)</f>
        <v/>
      </c>
      <c r="E158" s="7" t="str">
        <f>IF($A158="","",Registro_Contenedores!J158)</f>
        <v/>
      </c>
      <c r="F158" s="7" t="str">
        <f>IF($A158="","",Registro_Contenedores!K158)</f>
        <v/>
      </c>
      <c r="G158" s="5"/>
      <c r="H158" s="5"/>
      <c r="I158" s="5"/>
      <c r="J158" s="9"/>
    </row>
    <row r="159" spans="1:10" x14ac:dyDescent="0.35">
      <c r="A159" s="7" t="str">
        <f>IF(Registro_Contenedores!A159="","",Registro_Contenedores!A159)</f>
        <v/>
      </c>
      <c r="B159" s="7" t="str">
        <f>IF($A159="","",Registro_Contenedores!B159)</f>
        <v/>
      </c>
      <c r="C159" s="7" t="str">
        <f>IF($A159="","",Registro_Contenedores!E159)</f>
        <v/>
      </c>
      <c r="D159" s="7" t="str">
        <f>IF($A159="","",Registro_Contenedores!H159)</f>
        <v/>
      </c>
      <c r="E159" s="7" t="str">
        <f>IF($A159="","",Registro_Contenedores!J159)</f>
        <v/>
      </c>
      <c r="F159" s="7" t="str">
        <f>IF($A159="","",Registro_Contenedores!K159)</f>
        <v/>
      </c>
      <c r="G159" s="5"/>
      <c r="H159" s="5"/>
      <c r="I159" s="5"/>
      <c r="J159" s="9"/>
    </row>
    <row r="160" spans="1:10" x14ac:dyDescent="0.35">
      <c r="A160" s="7" t="str">
        <f>IF(Registro_Contenedores!A160="","",Registro_Contenedores!A160)</f>
        <v/>
      </c>
      <c r="B160" s="7" t="str">
        <f>IF($A160="","",Registro_Contenedores!B160)</f>
        <v/>
      </c>
      <c r="C160" s="7" t="str">
        <f>IF($A160="","",Registro_Contenedores!E160)</f>
        <v/>
      </c>
      <c r="D160" s="7" t="str">
        <f>IF($A160="","",Registro_Contenedores!H160)</f>
        <v/>
      </c>
      <c r="E160" s="7" t="str">
        <f>IF($A160="","",Registro_Contenedores!J160)</f>
        <v/>
      </c>
      <c r="F160" s="7" t="str">
        <f>IF($A160="","",Registro_Contenedores!K160)</f>
        <v/>
      </c>
      <c r="G160" s="5"/>
      <c r="H160" s="5"/>
      <c r="I160" s="5"/>
      <c r="J160" s="9"/>
    </row>
    <row r="161" spans="1:10" x14ac:dyDescent="0.35">
      <c r="A161" s="7" t="str">
        <f>IF(Registro_Contenedores!A161="","",Registro_Contenedores!A161)</f>
        <v/>
      </c>
      <c r="B161" s="7" t="str">
        <f>IF($A161="","",Registro_Contenedores!B161)</f>
        <v/>
      </c>
      <c r="C161" s="7" t="str">
        <f>IF($A161="","",Registro_Contenedores!E161)</f>
        <v/>
      </c>
      <c r="D161" s="7" t="str">
        <f>IF($A161="","",Registro_Contenedores!H161)</f>
        <v/>
      </c>
      <c r="E161" s="7" t="str">
        <f>IF($A161="","",Registro_Contenedores!J161)</f>
        <v/>
      </c>
      <c r="F161" s="7" t="str">
        <f>IF($A161="","",Registro_Contenedores!K161)</f>
        <v/>
      </c>
      <c r="G161" s="5"/>
      <c r="H161" s="5"/>
      <c r="I161" s="5"/>
      <c r="J161" s="9"/>
    </row>
    <row r="162" spans="1:10" x14ac:dyDescent="0.35">
      <c r="A162" s="7" t="str">
        <f>IF(Registro_Contenedores!A162="","",Registro_Contenedores!A162)</f>
        <v/>
      </c>
      <c r="B162" s="7" t="str">
        <f>IF($A162="","",Registro_Contenedores!B162)</f>
        <v/>
      </c>
      <c r="C162" s="7" t="str">
        <f>IF($A162="","",Registro_Contenedores!E162)</f>
        <v/>
      </c>
      <c r="D162" s="7" t="str">
        <f>IF($A162="","",Registro_Contenedores!H162)</f>
        <v/>
      </c>
      <c r="E162" s="7" t="str">
        <f>IF($A162="","",Registro_Contenedores!J162)</f>
        <v/>
      </c>
      <c r="F162" s="7" t="str">
        <f>IF($A162="","",Registro_Contenedores!K162)</f>
        <v/>
      </c>
      <c r="G162" s="5"/>
      <c r="H162" s="5"/>
      <c r="I162" s="5"/>
      <c r="J162" s="9"/>
    </row>
    <row r="163" spans="1:10" x14ac:dyDescent="0.35">
      <c r="A163" s="7" t="str">
        <f>IF(Registro_Contenedores!A163="","",Registro_Contenedores!A163)</f>
        <v/>
      </c>
      <c r="B163" s="7" t="str">
        <f>IF($A163="","",Registro_Contenedores!B163)</f>
        <v/>
      </c>
      <c r="C163" s="7" t="str">
        <f>IF($A163="","",Registro_Contenedores!E163)</f>
        <v/>
      </c>
      <c r="D163" s="7" t="str">
        <f>IF($A163="","",Registro_Contenedores!H163)</f>
        <v/>
      </c>
      <c r="E163" s="7" t="str">
        <f>IF($A163="","",Registro_Contenedores!J163)</f>
        <v/>
      </c>
      <c r="F163" s="7" t="str">
        <f>IF($A163="","",Registro_Contenedores!K163)</f>
        <v/>
      </c>
      <c r="G163" s="5"/>
      <c r="H163" s="5"/>
      <c r="I163" s="5"/>
      <c r="J163" s="9"/>
    </row>
    <row r="164" spans="1:10" x14ac:dyDescent="0.35">
      <c r="A164" s="7" t="str">
        <f>IF(Registro_Contenedores!A164="","",Registro_Contenedores!A164)</f>
        <v/>
      </c>
      <c r="B164" s="7" t="str">
        <f>IF($A164="","",Registro_Contenedores!B164)</f>
        <v/>
      </c>
      <c r="C164" s="7" t="str">
        <f>IF($A164="","",Registro_Contenedores!E164)</f>
        <v/>
      </c>
      <c r="D164" s="7" t="str">
        <f>IF($A164="","",Registro_Contenedores!H164)</f>
        <v/>
      </c>
      <c r="E164" s="7" t="str">
        <f>IF($A164="","",Registro_Contenedores!J164)</f>
        <v/>
      </c>
      <c r="F164" s="7" t="str">
        <f>IF($A164="","",Registro_Contenedores!K164)</f>
        <v/>
      </c>
      <c r="G164" s="5"/>
      <c r="H164" s="5"/>
      <c r="I164" s="5"/>
      <c r="J164" s="9"/>
    </row>
    <row r="165" spans="1:10" x14ac:dyDescent="0.35">
      <c r="A165" s="7" t="str">
        <f>IF(Registro_Contenedores!A165="","",Registro_Contenedores!A165)</f>
        <v/>
      </c>
      <c r="B165" s="7" t="str">
        <f>IF($A165="","",Registro_Contenedores!B165)</f>
        <v/>
      </c>
      <c r="C165" s="7" t="str">
        <f>IF($A165="","",Registro_Contenedores!E165)</f>
        <v/>
      </c>
      <c r="D165" s="7" t="str">
        <f>IF($A165="","",Registro_Contenedores!H165)</f>
        <v/>
      </c>
      <c r="E165" s="7" t="str">
        <f>IF($A165="","",Registro_Contenedores!J165)</f>
        <v/>
      </c>
      <c r="F165" s="7" t="str">
        <f>IF($A165="","",Registro_Contenedores!K165)</f>
        <v/>
      </c>
      <c r="G165" s="5"/>
      <c r="H165" s="5"/>
      <c r="I165" s="5"/>
      <c r="J165" s="9"/>
    </row>
    <row r="166" spans="1:10" x14ac:dyDescent="0.35">
      <c r="A166" s="7" t="str">
        <f>IF(Registro_Contenedores!A166="","",Registro_Contenedores!A166)</f>
        <v/>
      </c>
      <c r="B166" s="7" t="str">
        <f>IF($A166="","",Registro_Contenedores!B166)</f>
        <v/>
      </c>
      <c r="C166" s="7" t="str">
        <f>IF($A166="","",Registro_Contenedores!E166)</f>
        <v/>
      </c>
      <c r="D166" s="7" t="str">
        <f>IF($A166="","",Registro_Contenedores!H166)</f>
        <v/>
      </c>
      <c r="E166" s="7" t="str">
        <f>IF($A166="","",Registro_Contenedores!J166)</f>
        <v/>
      </c>
      <c r="F166" s="7" t="str">
        <f>IF($A166="","",Registro_Contenedores!K166)</f>
        <v/>
      </c>
      <c r="G166" s="5"/>
      <c r="H166" s="5"/>
      <c r="I166" s="5"/>
      <c r="J166" s="9"/>
    </row>
    <row r="167" spans="1:10" x14ac:dyDescent="0.35">
      <c r="A167" s="7" t="str">
        <f>IF(Registro_Contenedores!A167="","",Registro_Contenedores!A167)</f>
        <v/>
      </c>
      <c r="B167" s="7" t="str">
        <f>IF($A167="","",Registro_Contenedores!B167)</f>
        <v/>
      </c>
      <c r="C167" s="7" t="str">
        <f>IF($A167="","",Registro_Contenedores!E167)</f>
        <v/>
      </c>
      <c r="D167" s="7" t="str">
        <f>IF($A167="","",Registro_Contenedores!H167)</f>
        <v/>
      </c>
      <c r="E167" s="7" t="str">
        <f>IF($A167="","",Registro_Contenedores!J167)</f>
        <v/>
      </c>
      <c r="F167" s="7" t="str">
        <f>IF($A167="","",Registro_Contenedores!K167)</f>
        <v/>
      </c>
      <c r="G167" s="5"/>
      <c r="H167" s="5"/>
      <c r="I167" s="5"/>
      <c r="J167" s="9"/>
    </row>
    <row r="168" spans="1:10" x14ac:dyDescent="0.35">
      <c r="A168" s="7" t="str">
        <f>IF(Registro_Contenedores!A168="","",Registro_Contenedores!A168)</f>
        <v/>
      </c>
      <c r="B168" s="7" t="str">
        <f>IF($A168="","",Registro_Contenedores!B168)</f>
        <v/>
      </c>
      <c r="C168" s="7" t="str">
        <f>IF($A168="","",Registro_Contenedores!E168)</f>
        <v/>
      </c>
      <c r="D168" s="7" t="str">
        <f>IF($A168="","",Registro_Contenedores!H168)</f>
        <v/>
      </c>
      <c r="E168" s="7" t="str">
        <f>IF($A168="","",Registro_Contenedores!J168)</f>
        <v/>
      </c>
      <c r="F168" s="7" t="str">
        <f>IF($A168="","",Registro_Contenedores!K168)</f>
        <v/>
      </c>
      <c r="G168" s="5"/>
      <c r="H168" s="5"/>
      <c r="I168" s="5"/>
      <c r="J168" s="9"/>
    </row>
    <row r="169" spans="1:10" x14ac:dyDescent="0.35">
      <c r="A169" s="7" t="str">
        <f>IF(Registro_Contenedores!A169="","",Registro_Contenedores!A169)</f>
        <v/>
      </c>
      <c r="B169" s="7" t="str">
        <f>IF($A169="","",Registro_Contenedores!B169)</f>
        <v/>
      </c>
      <c r="C169" s="7" t="str">
        <f>IF($A169="","",Registro_Contenedores!E169)</f>
        <v/>
      </c>
      <c r="D169" s="7" t="str">
        <f>IF($A169="","",Registro_Contenedores!H169)</f>
        <v/>
      </c>
      <c r="E169" s="7" t="str">
        <f>IF($A169="","",Registro_Contenedores!J169)</f>
        <v/>
      </c>
      <c r="F169" s="7" t="str">
        <f>IF($A169="","",Registro_Contenedores!K169)</f>
        <v/>
      </c>
      <c r="G169" s="5"/>
      <c r="H169" s="5"/>
      <c r="I169" s="5"/>
      <c r="J169" s="9"/>
    </row>
    <row r="170" spans="1:10" x14ac:dyDescent="0.35">
      <c r="A170" s="7" t="str">
        <f>IF(Registro_Contenedores!A170="","",Registro_Contenedores!A170)</f>
        <v/>
      </c>
      <c r="B170" s="7" t="str">
        <f>IF($A170="","",Registro_Contenedores!B170)</f>
        <v/>
      </c>
      <c r="C170" s="7" t="str">
        <f>IF($A170="","",Registro_Contenedores!E170)</f>
        <v/>
      </c>
      <c r="D170" s="7" t="str">
        <f>IF($A170="","",Registro_Contenedores!H170)</f>
        <v/>
      </c>
      <c r="E170" s="7" t="str">
        <f>IF($A170="","",Registro_Contenedores!J170)</f>
        <v/>
      </c>
      <c r="F170" s="7" t="str">
        <f>IF($A170="","",Registro_Contenedores!K170)</f>
        <v/>
      </c>
      <c r="G170" s="5"/>
      <c r="H170" s="5"/>
      <c r="I170" s="5"/>
      <c r="J170" s="9"/>
    </row>
    <row r="171" spans="1:10" x14ac:dyDescent="0.35">
      <c r="A171" s="7" t="str">
        <f>IF(Registro_Contenedores!A171="","",Registro_Contenedores!A171)</f>
        <v/>
      </c>
      <c r="B171" s="7" t="str">
        <f>IF($A171="","",Registro_Contenedores!B171)</f>
        <v/>
      </c>
      <c r="C171" s="7" t="str">
        <f>IF($A171="","",Registro_Contenedores!E171)</f>
        <v/>
      </c>
      <c r="D171" s="7" t="str">
        <f>IF($A171="","",Registro_Contenedores!H171)</f>
        <v/>
      </c>
      <c r="E171" s="7" t="str">
        <f>IF($A171="","",Registro_Contenedores!J171)</f>
        <v/>
      </c>
      <c r="F171" s="7" t="str">
        <f>IF($A171="","",Registro_Contenedores!K171)</f>
        <v/>
      </c>
      <c r="G171" s="5"/>
      <c r="H171" s="5"/>
      <c r="I171" s="5"/>
      <c r="J171" s="9"/>
    </row>
    <row r="172" spans="1:10" x14ac:dyDescent="0.35">
      <c r="A172" s="7" t="str">
        <f>IF(Registro_Contenedores!A172="","",Registro_Contenedores!A172)</f>
        <v/>
      </c>
      <c r="B172" s="7" t="str">
        <f>IF($A172="","",Registro_Contenedores!B172)</f>
        <v/>
      </c>
      <c r="C172" s="7" t="str">
        <f>IF($A172="","",Registro_Contenedores!E172)</f>
        <v/>
      </c>
      <c r="D172" s="7" t="str">
        <f>IF($A172="","",Registro_Contenedores!H172)</f>
        <v/>
      </c>
      <c r="E172" s="7" t="str">
        <f>IF($A172="","",Registro_Contenedores!J172)</f>
        <v/>
      </c>
      <c r="F172" s="7" t="str">
        <f>IF($A172="","",Registro_Contenedores!K172)</f>
        <v/>
      </c>
      <c r="G172" s="5"/>
      <c r="H172" s="5"/>
      <c r="I172" s="5"/>
      <c r="J172" s="9"/>
    </row>
    <row r="173" spans="1:10" x14ac:dyDescent="0.35">
      <c r="A173" s="7" t="str">
        <f>IF(Registro_Contenedores!A173="","",Registro_Contenedores!A173)</f>
        <v/>
      </c>
      <c r="B173" s="7" t="str">
        <f>IF($A173="","",Registro_Contenedores!B173)</f>
        <v/>
      </c>
      <c r="C173" s="7" t="str">
        <f>IF($A173="","",Registro_Contenedores!E173)</f>
        <v/>
      </c>
      <c r="D173" s="7" t="str">
        <f>IF($A173="","",Registro_Contenedores!H173)</f>
        <v/>
      </c>
      <c r="E173" s="7" t="str">
        <f>IF($A173="","",Registro_Contenedores!J173)</f>
        <v/>
      </c>
      <c r="F173" s="7" t="str">
        <f>IF($A173="","",Registro_Contenedores!K173)</f>
        <v/>
      </c>
      <c r="G173" s="5"/>
      <c r="H173" s="5"/>
      <c r="I173" s="5"/>
      <c r="J173" s="9"/>
    </row>
    <row r="174" spans="1:10" x14ac:dyDescent="0.35">
      <c r="A174" s="7" t="str">
        <f>IF(Registro_Contenedores!A174="","",Registro_Contenedores!A174)</f>
        <v/>
      </c>
      <c r="B174" s="7" t="str">
        <f>IF($A174="","",Registro_Contenedores!B174)</f>
        <v/>
      </c>
      <c r="C174" s="7" t="str">
        <f>IF($A174="","",Registro_Contenedores!E174)</f>
        <v/>
      </c>
      <c r="D174" s="7" t="str">
        <f>IF($A174="","",Registro_Contenedores!H174)</f>
        <v/>
      </c>
      <c r="E174" s="7" t="str">
        <f>IF($A174="","",Registro_Contenedores!J174)</f>
        <v/>
      </c>
      <c r="F174" s="7" t="str">
        <f>IF($A174="","",Registro_Contenedores!K174)</f>
        <v/>
      </c>
      <c r="G174" s="5"/>
      <c r="H174" s="5"/>
      <c r="I174" s="5"/>
      <c r="J174" s="9"/>
    </row>
    <row r="175" spans="1:10" x14ac:dyDescent="0.35">
      <c r="A175" s="7" t="str">
        <f>IF(Registro_Contenedores!A175="","",Registro_Contenedores!A175)</f>
        <v/>
      </c>
      <c r="B175" s="7" t="str">
        <f>IF($A175="","",Registro_Contenedores!B175)</f>
        <v/>
      </c>
      <c r="C175" s="7" t="str">
        <f>IF($A175="","",Registro_Contenedores!E175)</f>
        <v/>
      </c>
      <c r="D175" s="7" t="str">
        <f>IF($A175="","",Registro_Contenedores!H175)</f>
        <v/>
      </c>
      <c r="E175" s="7" t="str">
        <f>IF($A175="","",Registro_Contenedores!J175)</f>
        <v/>
      </c>
      <c r="F175" s="7" t="str">
        <f>IF($A175="","",Registro_Contenedores!K175)</f>
        <v/>
      </c>
      <c r="G175" s="5"/>
      <c r="H175" s="5"/>
      <c r="I175" s="5"/>
      <c r="J175" s="9"/>
    </row>
    <row r="176" spans="1:10" x14ac:dyDescent="0.35">
      <c r="A176" s="7" t="str">
        <f>IF(Registro_Contenedores!A176="","",Registro_Contenedores!A176)</f>
        <v/>
      </c>
      <c r="B176" s="7" t="str">
        <f>IF($A176="","",Registro_Contenedores!B176)</f>
        <v/>
      </c>
      <c r="C176" s="7" t="str">
        <f>IF($A176="","",Registro_Contenedores!E176)</f>
        <v/>
      </c>
      <c r="D176" s="7" t="str">
        <f>IF($A176="","",Registro_Contenedores!H176)</f>
        <v/>
      </c>
      <c r="E176" s="7" t="str">
        <f>IF($A176="","",Registro_Contenedores!J176)</f>
        <v/>
      </c>
      <c r="F176" s="7" t="str">
        <f>IF($A176="","",Registro_Contenedores!K176)</f>
        <v/>
      </c>
      <c r="G176" s="5"/>
      <c r="H176" s="5"/>
      <c r="I176" s="5"/>
      <c r="J176" s="9"/>
    </row>
    <row r="177" spans="1:10" x14ac:dyDescent="0.35">
      <c r="A177" s="7" t="str">
        <f>IF(Registro_Contenedores!A177="","",Registro_Contenedores!A177)</f>
        <v/>
      </c>
      <c r="B177" s="7" t="str">
        <f>IF($A177="","",Registro_Contenedores!B177)</f>
        <v/>
      </c>
      <c r="C177" s="7" t="str">
        <f>IF($A177="","",Registro_Contenedores!E177)</f>
        <v/>
      </c>
      <c r="D177" s="7" t="str">
        <f>IF($A177="","",Registro_Contenedores!H177)</f>
        <v/>
      </c>
      <c r="E177" s="7" t="str">
        <f>IF($A177="","",Registro_Contenedores!J177)</f>
        <v/>
      </c>
      <c r="F177" s="7" t="str">
        <f>IF($A177="","",Registro_Contenedores!K177)</f>
        <v/>
      </c>
      <c r="G177" s="5"/>
      <c r="H177" s="5"/>
      <c r="I177" s="5"/>
      <c r="J177" s="9"/>
    </row>
    <row r="178" spans="1:10" x14ac:dyDescent="0.35">
      <c r="A178" s="7" t="str">
        <f>IF(Registro_Contenedores!A178="","",Registro_Contenedores!A178)</f>
        <v/>
      </c>
      <c r="B178" s="7" t="str">
        <f>IF($A178="","",Registro_Contenedores!B178)</f>
        <v/>
      </c>
      <c r="C178" s="7" t="str">
        <f>IF($A178="","",Registro_Contenedores!E178)</f>
        <v/>
      </c>
      <c r="D178" s="7" t="str">
        <f>IF($A178="","",Registro_Contenedores!H178)</f>
        <v/>
      </c>
      <c r="E178" s="7" t="str">
        <f>IF($A178="","",Registro_Contenedores!J178)</f>
        <v/>
      </c>
      <c r="F178" s="7" t="str">
        <f>IF($A178="","",Registro_Contenedores!K178)</f>
        <v/>
      </c>
      <c r="G178" s="5"/>
      <c r="H178" s="5"/>
      <c r="I178" s="5"/>
      <c r="J178" s="9"/>
    </row>
    <row r="179" spans="1:10" x14ac:dyDescent="0.35">
      <c r="A179" s="7" t="str">
        <f>IF(Registro_Contenedores!A179="","",Registro_Contenedores!A179)</f>
        <v/>
      </c>
      <c r="B179" s="7" t="str">
        <f>IF($A179="","",Registro_Contenedores!B179)</f>
        <v/>
      </c>
      <c r="C179" s="7" t="str">
        <f>IF($A179="","",Registro_Contenedores!E179)</f>
        <v/>
      </c>
      <c r="D179" s="7" t="str">
        <f>IF($A179="","",Registro_Contenedores!H179)</f>
        <v/>
      </c>
      <c r="E179" s="7" t="str">
        <f>IF($A179="","",Registro_Contenedores!J179)</f>
        <v/>
      </c>
      <c r="F179" s="7" t="str">
        <f>IF($A179="","",Registro_Contenedores!K179)</f>
        <v/>
      </c>
      <c r="G179" s="5"/>
      <c r="H179" s="5"/>
      <c r="I179" s="5"/>
      <c r="J179" s="9"/>
    </row>
    <row r="180" spans="1:10" x14ac:dyDescent="0.35">
      <c r="A180" s="7" t="str">
        <f>IF(Registro_Contenedores!A180="","",Registro_Contenedores!A180)</f>
        <v/>
      </c>
      <c r="B180" s="7" t="str">
        <f>IF($A180="","",Registro_Contenedores!B180)</f>
        <v/>
      </c>
      <c r="C180" s="7" t="str">
        <f>IF($A180="","",Registro_Contenedores!E180)</f>
        <v/>
      </c>
      <c r="D180" s="7" t="str">
        <f>IF($A180="","",Registro_Contenedores!H180)</f>
        <v/>
      </c>
      <c r="E180" s="7" t="str">
        <f>IF($A180="","",Registro_Contenedores!J180)</f>
        <v/>
      </c>
      <c r="F180" s="7" t="str">
        <f>IF($A180="","",Registro_Contenedores!K180)</f>
        <v/>
      </c>
      <c r="G180" s="5"/>
      <c r="H180" s="5"/>
      <c r="I180" s="5"/>
      <c r="J180" s="9"/>
    </row>
    <row r="181" spans="1:10" x14ac:dyDescent="0.35">
      <c r="A181" s="7" t="str">
        <f>IF(Registro_Contenedores!A181="","",Registro_Contenedores!A181)</f>
        <v/>
      </c>
      <c r="B181" s="7" t="str">
        <f>IF($A181="","",Registro_Contenedores!B181)</f>
        <v/>
      </c>
      <c r="C181" s="7" t="str">
        <f>IF($A181="","",Registro_Contenedores!E181)</f>
        <v/>
      </c>
      <c r="D181" s="7" t="str">
        <f>IF($A181="","",Registro_Contenedores!H181)</f>
        <v/>
      </c>
      <c r="E181" s="7" t="str">
        <f>IF($A181="","",Registro_Contenedores!J181)</f>
        <v/>
      </c>
      <c r="F181" s="7" t="str">
        <f>IF($A181="","",Registro_Contenedores!K181)</f>
        <v/>
      </c>
      <c r="G181" s="5"/>
      <c r="H181" s="5"/>
      <c r="I181" s="5"/>
      <c r="J181" s="9"/>
    </row>
    <row r="182" spans="1:10" x14ac:dyDescent="0.35">
      <c r="A182" s="7" t="str">
        <f>IF(Registro_Contenedores!A182="","",Registro_Contenedores!A182)</f>
        <v/>
      </c>
      <c r="B182" s="7" t="str">
        <f>IF($A182="","",Registro_Contenedores!B182)</f>
        <v/>
      </c>
      <c r="C182" s="7" t="str">
        <f>IF($A182="","",Registro_Contenedores!E182)</f>
        <v/>
      </c>
      <c r="D182" s="7" t="str">
        <f>IF($A182="","",Registro_Contenedores!H182)</f>
        <v/>
      </c>
      <c r="E182" s="7" t="str">
        <f>IF($A182="","",Registro_Contenedores!J182)</f>
        <v/>
      </c>
      <c r="F182" s="7" t="str">
        <f>IF($A182="","",Registro_Contenedores!K182)</f>
        <v/>
      </c>
      <c r="G182" s="5"/>
      <c r="H182" s="5"/>
      <c r="I182" s="5"/>
      <c r="J182" s="9"/>
    </row>
    <row r="183" spans="1:10" x14ac:dyDescent="0.35">
      <c r="A183" s="7" t="str">
        <f>IF(Registro_Contenedores!A183="","",Registro_Contenedores!A183)</f>
        <v/>
      </c>
      <c r="B183" s="7" t="str">
        <f>IF($A183="","",Registro_Contenedores!B183)</f>
        <v/>
      </c>
      <c r="C183" s="7" t="str">
        <f>IF($A183="","",Registro_Contenedores!E183)</f>
        <v/>
      </c>
      <c r="D183" s="7" t="str">
        <f>IF($A183="","",Registro_Contenedores!H183)</f>
        <v/>
      </c>
      <c r="E183" s="7" t="str">
        <f>IF($A183="","",Registro_Contenedores!J183)</f>
        <v/>
      </c>
      <c r="F183" s="7" t="str">
        <f>IF($A183="","",Registro_Contenedores!K183)</f>
        <v/>
      </c>
      <c r="G183" s="5"/>
      <c r="H183" s="5"/>
      <c r="I183" s="5"/>
      <c r="J183" s="9"/>
    </row>
    <row r="184" spans="1:10" x14ac:dyDescent="0.35">
      <c r="A184" s="7" t="str">
        <f>IF(Registro_Contenedores!A184="","",Registro_Contenedores!A184)</f>
        <v/>
      </c>
      <c r="B184" s="7" t="str">
        <f>IF($A184="","",Registro_Contenedores!B184)</f>
        <v/>
      </c>
      <c r="C184" s="7" t="str">
        <f>IF($A184="","",Registro_Contenedores!E184)</f>
        <v/>
      </c>
      <c r="D184" s="7" t="str">
        <f>IF($A184="","",Registro_Contenedores!H184)</f>
        <v/>
      </c>
      <c r="E184" s="7" t="str">
        <f>IF($A184="","",Registro_Contenedores!J184)</f>
        <v/>
      </c>
      <c r="F184" s="7" t="str">
        <f>IF($A184="","",Registro_Contenedores!K184)</f>
        <v/>
      </c>
      <c r="G184" s="5"/>
      <c r="H184" s="5"/>
      <c r="I184" s="5"/>
      <c r="J184" s="9"/>
    </row>
    <row r="185" spans="1:10" x14ac:dyDescent="0.35">
      <c r="A185" s="7" t="str">
        <f>IF(Registro_Contenedores!A185="","",Registro_Contenedores!A185)</f>
        <v/>
      </c>
      <c r="B185" s="7" t="str">
        <f>IF($A185="","",Registro_Contenedores!B185)</f>
        <v/>
      </c>
      <c r="C185" s="7" t="str">
        <f>IF($A185="","",Registro_Contenedores!E185)</f>
        <v/>
      </c>
      <c r="D185" s="7" t="str">
        <f>IF($A185="","",Registro_Contenedores!H185)</f>
        <v/>
      </c>
      <c r="E185" s="7" t="str">
        <f>IF($A185="","",Registro_Contenedores!J185)</f>
        <v/>
      </c>
      <c r="F185" s="7" t="str">
        <f>IF($A185="","",Registro_Contenedores!K185)</f>
        <v/>
      </c>
      <c r="G185" s="5"/>
      <c r="H185" s="5"/>
      <c r="I185" s="5"/>
      <c r="J185" s="9"/>
    </row>
    <row r="186" spans="1:10" x14ac:dyDescent="0.35">
      <c r="A186" s="7" t="str">
        <f>IF(Registro_Contenedores!A186="","",Registro_Contenedores!A186)</f>
        <v/>
      </c>
      <c r="B186" s="7" t="str">
        <f>IF($A186="","",Registro_Contenedores!B186)</f>
        <v/>
      </c>
      <c r="C186" s="7" t="str">
        <f>IF($A186="","",Registro_Contenedores!E186)</f>
        <v/>
      </c>
      <c r="D186" s="7" t="str">
        <f>IF($A186="","",Registro_Contenedores!H186)</f>
        <v/>
      </c>
      <c r="E186" s="7" t="str">
        <f>IF($A186="","",Registro_Contenedores!J186)</f>
        <v/>
      </c>
      <c r="F186" s="7" t="str">
        <f>IF($A186="","",Registro_Contenedores!K186)</f>
        <v/>
      </c>
      <c r="G186" s="5"/>
      <c r="H186" s="5"/>
      <c r="I186" s="5"/>
      <c r="J186" s="9"/>
    </row>
    <row r="187" spans="1:10" x14ac:dyDescent="0.35">
      <c r="A187" s="7" t="str">
        <f>IF(Registro_Contenedores!A187="","",Registro_Contenedores!A187)</f>
        <v/>
      </c>
      <c r="B187" s="7" t="str">
        <f>IF($A187="","",Registro_Contenedores!B187)</f>
        <v/>
      </c>
      <c r="C187" s="7" t="str">
        <f>IF($A187="","",Registro_Contenedores!E187)</f>
        <v/>
      </c>
      <c r="D187" s="7" t="str">
        <f>IF($A187="","",Registro_Contenedores!H187)</f>
        <v/>
      </c>
      <c r="E187" s="7" t="str">
        <f>IF($A187="","",Registro_Contenedores!J187)</f>
        <v/>
      </c>
      <c r="F187" s="7" t="str">
        <f>IF($A187="","",Registro_Contenedores!K187)</f>
        <v/>
      </c>
      <c r="G187" s="5"/>
      <c r="H187" s="5"/>
      <c r="I187" s="5"/>
      <c r="J187" s="9"/>
    </row>
    <row r="188" spans="1:10" x14ac:dyDescent="0.35">
      <c r="A188" s="7" t="str">
        <f>IF(Registro_Contenedores!A188="","",Registro_Contenedores!A188)</f>
        <v/>
      </c>
      <c r="B188" s="7" t="str">
        <f>IF($A188="","",Registro_Contenedores!B188)</f>
        <v/>
      </c>
      <c r="C188" s="7" t="str">
        <f>IF($A188="","",Registro_Contenedores!E188)</f>
        <v/>
      </c>
      <c r="D188" s="7" t="str">
        <f>IF($A188="","",Registro_Contenedores!H188)</f>
        <v/>
      </c>
      <c r="E188" s="7" t="str">
        <f>IF($A188="","",Registro_Contenedores!J188)</f>
        <v/>
      </c>
      <c r="F188" s="7" t="str">
        <f>IF($A188="","",Registro_Contenedores!K188)</f>
        <v/>
      </c>
      <c r="G188" s="5"/>
      <c r="H188" s="5"/>
      <c r="I188" s="5"/>
      <c r="J188" s="9"/>
    </row>
    <row r="189" spans="1:10" x14ac:dyDescent="0.35">
      <c r="A189" s="7" t="str">
        <f>IF(Registro_Contenedores!A189="","",Registro_Contenedores!A189)</f>
        <v/>
      </c>
      <c r="B189" s="7" t="str">
        <f>IF($A189="","",Registro_Contenedores!B189)</f>
        <v/>
      </c>
      <c r="C189" s="7" t="str">
        <f>IF($A189="","",Registro_Contenedores!E189)</f>
        <v/>
      </c>
      <c r="D189" s="7" t="str">
        <f>IF($A189="","",Registro_Contenedores!H189)</f>
        <v/>
      </c>
      <c r="E189" s="7" t="str">
        <f>IF($A189="","",Registro_Contenedores!J189)</f>
        <v/>
      </c>
      <c r="F189" s="7" t="str">
        <f>IF($A189="","",Registro_Contenedores!K189)</f>
        <v/>
      </c>
      <c r="G189" s="5"/>
      <c r="H189" s="5"/>
      <c r="I189" s="5"/>
      <c r="J189" s="9"/>
    </row>
    <row r="190" spans="1:10" x14ac:dyDescent="0.35">
      <c r="A190" s="7" t="str">
        <f>IF(Registro_Contenedores!A190="","",Registro_Contenedores!A190)</f>
        <v/>
      </c>
      <c r="B190" s="7" t="str">
        <f>IF($A190="","",Registro_Contenedores!B190)</f>
        <v/>
      </c>
      <c r="C190" s="7" t="str">
        <f>IF($A190="","",Registro_Contenedores!E190)</f>
        <v/>
      </c>
      <c r="D190" s="7" t="str">
        <f>IF($A190="","",Registro_Contenedores!H190)</f>
        <v/>
      </c>
      <c r="E190" s="7" t="str">
        <f>IF($A190="","",Registro_Contenedores!J190)</f>
        <v/>
      </c>
      <c r="F190" s="7" t="str">
        <f>IF($A190="","",Registro_Contenedores!K190)</f>
        <v/>
      </c>
      <c r="G190" s="5"/>
      <c r="H190" s="5"/>
      <c r="I190" s="5"/>
      <c r="J190" s="9"/>
    </row>
    <row r="191" spans="1:10" x14ac:dyDescent="0.35">
      <c r="A191" s="7" t="str">
        <f>IF(Registro_Contenedores!A191="","",Registro_Contenedores!A191)</f>
        <v/>
      </c>
      <c r="B191" s="7" t="str">
        <f>IF($A191="","",Registro_Contenedores!B191)</f>
        <v/>
      </c>
      <c r="C191" s="7" t="str">
        <f>IF($A191="","",Registro_Contenedores!E191)</f>
        <v/>
      </c>
      <c r="D191" s="7" t="str">
        <f>IF($A191="","",Registro_Contenedores!H191)</f>
        <v/>
      </c>
      <c r="E191" s="7" t="str">
        <f>IF($A191="","",Registro_Contenedores!J191)</f>
        <v/>
      </c>
      <c r="F191" s="7" t="str">
        <f>IF($A191="","",Registro_Contenedores!K191)</f>
        <v/>
      </c>
      <c r="G191" s="5"/>
      <c r="H191" s="5"/>
      <c r="I191" s="5"/>
      <c r="J191" s="9"/>
    </row>
    <row r="192" spans="1:10" x14ac:dyDescent="0.35">
      <c r="A192" s="7" t="str">
        <f>IF(Registro_Contenedores!A192="","",Registro_Contenedores!A192)</f>
        <v/>
      </c>
      <c r="B192" s="7" t="str">
        <f>IF($A192="","",Registro_Contenedores!B192)</f>
        <v/>
      </c>
      <c r="C192" s="7" t="str">
        <f>IF($A192="","",Registro_Contenedores!E192)</f>
        <v/>
      </c>
      <c r="D192" s="7" t="str">
        <f>IF($A192="","",Registro_Contenedores!H192)</f>
        <v/>
      </c>
      <c r="E192" s="7" t="str">
        <f>IF($A192="","",Registro_Contenedores!J192)</f>
        <v/>
      </c>
      <c r="F192" s="7" t="str">
        <f>IF($A192="","",Registro_Contenedores!K192)</f>
        <v/>
      </c>
      <c r="G192" s="5"/>
      <c r="H192" s="5"/>
      <c r="I192" s="5"/>
      <c r="J192" s="9"/>
    </row>
    <row r="193" spans="1:10" x14ac:dyDescent="0.35">
      <c r="A193" s="7" t="str">
        <f>IF(Registro_Contenedores!A193="","",Registro_Contenedores!A193)</f>
        <v/>
      </c>
      <c r="B193" s="7" t="str">
        <f>IF($A193="","",Registro_Contenedores!B193)</f>
        <v/>
      </c>
      <c r="C193" s="7" t="str">
        <f>IF($A193="","",Registro_Contenedores!E193)</f>
        <v/>
      </c>
      <c r="D193" s="7" t="str">
        <f>IF($A193="","",Registro_Contenedores!H193)</f>
        <v/>
      </c>
      <c r="E193" s="7" t="str">
        <f>IF($A193="","",Registro_Contenedores!J193)</f>
        <v/>
      </c>
      <c r="F193" s="7" t="str">
        <f>IF($A193="","",Registro_Contenedores!K193)</f>
        <v/>
      </c>
      <c r="G193" s="5"/>
      <c r="H193" s="5"/>
      <c r="I193" s="5"/>
      <c r="J193" s="9"/>
    </row>
    <row r="194" spans="1:10" x14ac:dyDescent="0.35">
      <c r="A194" s="7" t="str">
        <f>IF(Registro_Contenedores!A194="","",Registro_Contenedores!A194)</f>
        <v/>
      </c>
      <c r="B194" s="7" t="str">
        <f>IF($A194="","",Registro_Contenedores!B194)</f>
        <v/>
      </c>
      <c r="C194" s="7" t="str">
        <f>IF($A194="","",Registro_Contenedores!E194)</f>
        <v/>
      </c>
      <c r="D194" s="7" t="str">
        <f>IF($A194="","",Registro_Contenedores!H194)</f>
        <v/>
      </c>
      <c r="E194" s="7" t="str">
        <f>IF($A194="","",Registro_Contenedores!J194)</f>
        <v/>
      </c>
      <c r="F194" s="7" t="str">
        <f>IF($A194="","",Registro_Contenedores!K194)</f>
        <v/>
      </c>
      <c r="G194" s="5"/>
      <c r="H194" s="5"/>
      <c r="I194" s="5"/>
      <c r="J194" s="9"/>
    </row>
    <row r="195" spans="1:10" x14ac:dyDescent="0.35">
      <c r="A195" s="7" t="str">
        <f>IF(Registro_Contenedores!A195="","",Registro_Contenedores!A195)</f>
        <v/>
      </c>
      <c r="B195" s="7" t="str">
        <f>IF($A195="","",Registro_Contenedores!B195)</f>
        <v/>
      </c>
      <c r="C195" s="7" t="str">
        <f>IF($A195="","",Registro_Contenedores!E195)</f>
        <v/>
      </c>
      <c r="D195" s="7" t="str">
        <f>IF($A195="","",Registro_Contenedores!H195)</f>
        <v/>
      </c>
      <c r="E195" s="7" t="str">
        <f>IF($A195="","",Registro_Contenedores!J195)</f>
        <v/>
      </c>
      <c r="F195" s="7" t="str">
        <f>IF($A195="","",Registro_Contenedores!K195)</f>
        <v/>
      </c>
      <c r="G195" s="5"/>
      <c r="H195" s="5"/>
      <c r="I195" s="5"/>
      <c r="J195" s="9"/>
    </row>
    <row r="196" spans="1:10" x14ac:dyDescent="0.35">
      <c r="A196" s="7" t="str">
        <f>IF(Registro_Contenedores!A196="","",Registro_Contenedores!A196)</f>
        <v/>
      </c>
      <c r="B196" s="7" t="str">
        <f>IF($A196="","",Registro_Contenedores!B196)</f>
        <v/>
      </c>
      <c r="C196" s="7" t="str">
        <f>IF($A196="","",Registro_Contenedores!E196)</f>
        <v/>
      </c>
      <c r="D196" s="7" t="str">
        <f>IF($A196="","",Registro_Contenedores!H196)</f>
        <v/>
      </c>
      <c r="E196" s="7" t="str">
        <f>IF($A196="","",Registro_Contenedores!J196)</f>
        <v/>
      </c>
      <c r="F196" s="7" t="str">
        <f>IF($A196="","",Registro_Contenedores!K196)</f>
        <v/>
      </c>
      <c r="G196" s="5"/>
      <c r="H196" s="5"/>
      <c r="I196" s="5"/>
      <c r="J196" s="9"/>
    </row>
    <row r="197" spans="1:10" x14ac:dyDescent="0.35">
      <c r="A197" s="7" t="str">
        <f>IF(Registro_Contenedores!A197="","",Registro_Contenedores!A197)</f>
        <v/>
      </c>
      <c r="B197" s="7" t="str">
        <f>IF($A197="","",Registro_Contenedores!B197)</f>
        <v/>
      </c>
      <c r="C197" s="7" t="str">
        <f>IF($A197="","",Registro_Contenedores!E197)</f>
        <v/>
      </c>
      <c r="D197" s="7" t="str">
        <f>IF($A197="","",Registro_Contenedores!H197)</f>
        <v/>
      </c>
      <c r="E197" s="7" t="str">
        <f>IF($A197="","",Registro_Contenedores!J197)</f>
        <v/>
      </c>
      <c r="F197" s="7" t="str">
        <f>IF($A197="","",Registro_Contenedores!K197)</f>
        <v/>
      </c>
      <c r="G197" s="5"/>
      <c r="H197" s="5"/>
      <c r="I197" s="5"/>
      <c r="J197" s="9"/>
    </row>
    <row r="198" spans="1:10" x14ac:dyDescent="0.35">
      <c r="A198" s="7" t="str">
        <f>IF(Registro_Contenedores!A198="","",Registro_Contenedores!A198)</f>
        <v/>
      </c>
      <c r="B198" s="7" t="str">
        <f>IF($A198="","",Registro_Contenedores!B198)</f>
        <v/>
      </c>
      <c r="C198" s="7" t="str">
        <f>IF($A198="","",Registro_Contenedores!E198)</f>
        <v/>
      </c>
      <c r="D198" s="7" t="str">
        <f>IF($A198="","",Registro_Contenedores!H198)</f>
        <v/>
      </c>
      <c r="E198" s="7" t="str">
        <f>IF($A198="","",Registro_Contenedores!J198)</f>
        <v/>
      </c>
      <c r="F198" s="7" t="str">
        <f>IF($A198="","",Registro_Contenedores!K198)</f>
        <v/>
      </c>
      <c r="G198" s="5"/>
      <c r="H198" s="5"/>
      <c r="I198" s="5"/>
      <c r="J198" s="9"/>
    </row>
    <row r="199" spans="1:10" x14ac:dyDescent="0.35">
      <c r="A199" s="7" t="str">
        <f>IF(Registro_Contenedores!A199="","",Registro_Contenedores!A199)</f>
        <v/>
      </c>
      <c r="B199" s="7" t="str">
        <f>IF($A199="","",Registro_Contenedores!B199)</f>
        <v/>
      </c>
      <c r="C199" s="7" t="str">
        <f>IF($A199="","",Registro_Contenedores!E199)</f>
        <v/>
      </c>
      <c r="D199" s="7" t="str">
        <f>IF($A199="","",Registro_Contenedores!H199)</f>
        <v/>
      </c>
      <c r="E199" s="7" t="str">
        <f>IF($A199="","",Registro_Contenedores!J199)</f>
        <v/>
      </c>
      <c r="F199" s="7" t="str">
        <f>IF($A199="","",Registro_Contenedores!K199)</f>
        <v/>
      </c>
      <c r="G199" s="5"/>
      <c r="H199" s="5"/>
      <c r="I199" s="5"/>
      <c r="J199" s="9"/>
    </row>
    <row r="200" spans="1:10" x14ac:dyDescent="0.35">
      <c r="A200" s="7" t="str">
        <f>IF(Registro_Contenedores!A200="","",Registro_Contenedores!A200)</f>
        <v/>
      </c>
      <c r="B200" s="7" t="str">
        <f>IF($A200="","",Registro_Contenedores!B200)</f>
        <v/>
      </c>
      <c r="C200" s="7" t="str">
        <f>IF($A200="","",Registro_Contenedores!E200)</f>
        <v/>
      </c>
      <c r="D200" s="7" t="str">
        <f>IF($A200="","",Registro_Contenedores!H200)</f>
        <v/>
      </c>
      <c r="E200" s="7" t="str">
        <f>IF($A200="","",Registro_Contenedores!J200)</f>
        <v/>
      </c>
      <c r="F200" s="7" t="str">
        <f>IF($A200="","",Registro_Contenedores!K200)</f>
        <v/>
      </c>
      <c r="G200" s="5"/>
      <c r="H200" s="5"/>
      <c r="I200" s="5"/>
      <c r="J200" s="9"/>
    </row>
    <row r="201" spans="1:10" x14ac:dyDescent="0.35">
      <c r="A201" s="7" t="str">
        <f>IF(Registro_Contenedores!A201="","",Registro_Contenedores!A201)</f>
        <v/>
      </c>
      <c r="B201" s="7" t="str">
        <f>IF($A201="","",Registro_Contenedores!B201)</f>
        <v/>
      </c>
      <c r="C201" s="7" t="str">
        <f>IF($A201="","",Registro_Contenedores!E201)</f>
        <v/>
      </c>
      <c r="D201" s="7" t="str">
        <f>IF($A201="","",Registro_Contenedores!H201)</f>
        <v/>
      </c>
      <c r="E201" s="7" t="str">
        <f>IF($A201="","",Registro_Contenedores!J201)</f>
        <v/>
      </c>
      <c r="F201" s="7" t="str">
        <f>IF($A201="","",Registro_Contenedores!K201)</f>
        <v/>
      </c>
      <c r="G201" s="5"/>
      <c r="H201" s="5"/>
      <c r="I201" s="5"/>
      <c r="J201" s="9"/>
    </row>
    <row r="202" spans="1:10" x14ac:dyDescent="0.35">
      <c r="A202" s="7" t="str">
        <f>IF(Registro_Contenedores!A202="","",Registro_Contenedores!A202)</f>
        <v/>
      </c>
      <c r="B202" s="7" t="str">
        <f>IF($A202="","",Registro_Contenedores!B202)</f>
        <v/>
      </c>
      <c r="C202" s="7" t="str">
        <f>IF($A202="","",Registro_Contenedores!E202)</f>
        <v/>
      </c>
      <c r="D202" s="7" t="str">
        <f>IF($A202="","",Registro_Contenedores!H202)</f>
        <v/>
      </c>
      <c r="E202" s="7" t="str">
        <f>IF($A202="","",Registro_Contenedores!J202)</f>
        <v/>
      </c>
      <c r="F202" s="7" t="str">
        <f>IF($A202="","",Registro_Contenedores!K202)</f>
        <v/>
      </c>
      <c r="G202" s="5"/>
      <c r="H202" s="5"/>
      <c r="I202" s="5"/>
      <c r="J202" s="9"/>
    </row>
    <row r="203" spans="1:10" x14ac:dyDescent="0.35">
      <c r="A203" s="7" t="str">
        <f>IF(Registro_Contenedores!A203="","",Registro_Contenedores!A203)</f>
        <v/>
      </c>
      <c r="B203" s="7" t="str">
        <f>IF($A203="","",Registro_Contenedores!B203)</f>
        <v/>
      </c>
      <c r="C203" s="7" t="str">
        <f>IF($A203="","",Registro_Contenedores!E203)</f>
        <v/>
      </c>
      <c r="D203" s="7" t="str">
        <f>IF($A203="","",Registro_Contenedores!H203)</f>
        <v/>
      </c>
      <c r="E203" s="7" t="str">
        <f>IF($A203="","",Registro_Contenedores!J203)</f>
        <v/>
      </c>
      <c r="F203" s="7" t="str">
        <f>IF($A203="","",Registro_Contenedores!K203)</f>
        <v/>
      </c>
      <c r="G203" s="5"/>
      <c r="H203" s="5"/>
      <c r="I203" s="5"/>
      <c r="J203" s="9"/>
    </row>
    <row r="204" spans="1:10" x14ac:dyDescent="0.35">
      <c r="A204" s="1"/>
      <c r="B204" s="1"/>
      <c r="C204" s="1"/>
      <c r="D204" s="1"/>
      <c r="E204" s="1"/>
      <c r="F204" s="1"/>
      <c r="G204" s="1"/>
      <c r="H204" s="1"/>
      <c r="I204" s="1"/>
    </row>
    <row r="205" spans="1:10" x14ac:dyDescent="0.35">
      <c r="A205" s="1"/>
      <c r="B205" s="1"/>
      <c r="C205" s="1"/>
      <c r="D205" s="1"/>
      <c r="E205" s="1"/>
      <c r="F205" s="1"/>
      <c r="G205" s="1"/>
      <c r="H205" s="1"/>
      <c r="I205" s="1"/>
    </row>
    <row r="206" spans="1:10" x14ac:dyDescent="0.35">
      <c r="A206" s="1"/>
      <c r="B206" s="1"/>
      <c r="C206" s="1"/>
      <c r="D206" s="1"/>
      <c r="E206" s="1"/>
      <c r="F206" s="1"/>
      <c r="G206" s="1"/>
      <c r="H206" s="1"/>
      <c r="I206" s="1"/>
    </row>
    <row r="207" spans="1:10" x14ac:dyDescent="0.35">
      <c r="A207" s="1"/>
      <c r="B207" s="1"/>
      <c r="C207" s="1"/>
      <c r="D207" s="1"/>
      <c r="E207" s="1"/>
      <c r="F207" s="1"/>
      <c r="G207" s="1"/>
      <c r="H207" s="1"/>
      <c r="I207" s="1"/>
    </row>
    <row r="208" spans="1:10" x14ac:dyDescent="0.3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5">
      <c r="A603" s="1"/>
      <c r="B603" s="1"/>
      <c r="C603" s="1"/>
      <c r="D603" s="1"/>
      <c r="E603" s="1"/>
      <c r="F603" s="1"/>
      <c r="G603" s="1"/>
      <c r="H603" s="1"/>
      <c r="I603" s="1"/>
    </row>
  </sheetData>
  <sheetProtection password="C18C" sheet="1"/>
  <mergeCells count="1">
    <mergeCell ref="A1:J1"/>
  </mergeCells>
  <dataValidations count="1">
    <dataValidation type="time" allowBlank="1" sqref="I4:I203" xr:uid="{00000000-0002-0000-0300-000001000000}">
      <formula1>TIME(0,0,0)</formula1>
      <formula2>TIME(23,59,59)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Catalogos!$E$4:$E$7</xm:f>
          </x14:formula1>
          <xm:sqref>H4:H203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3"/>
  <sheetViews>
    <sheetView showGridLines="0" topLeftCell="B1" workbookViewId="0">
      <pane ySplit="3" topLeftCell="A4" activePane="bottomLeft" state="frozen"/>
      <selection pane="bottomLeft" activeCell="H9" sqref="H9"/>
    </sheetView>
  </sheetViews>
  <sheetFormatPr baseColWidth="10" defaultColWidth="8.7265625" defaultRowHeight="14.5" x14ac:dyDescent="0.35"/>
  <cols>
    <col min="1" max="1" width="18" customWidth="1"/>
    <col min="2" max="3" width="14" customWidth="1"/>
    <col min="4" max="4" width="12" customWidth="1"/>
    <col min="5" max="5" width="18" customWidth="1"/>
    <col min="6" max="6" width="14" customWidth="1"/>
    <col min="7" max="8" width="18" customWidth="1"/>
    <col min="9" max="9" width="20" customWidth="1"/>
    <col min="10" max="10" width="28" customWidth="1"/>
  </cols>
  <sheetData>
    <row r="1" spans="1:10" x14ac:dyDescent="0.35">
      <c r="A1" s="17" t="s">
        <v>95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x14ac:dyDescent="0.35">
      <c r="A3" s="3" t="s">
        <v>48</v>
      </c>
      <c r="B3" s="3" t="s">
        <v>49</v>
      </c>
      <c r="C3" s="3" t="s">
        <v>52</v>
      </c>
      <c r="D3" s="3" t="s">
        <v>55</v>
      </c>
      <c r="E3" s="3" t="s">
        <v>83</v>
      </c>
      <c r="F3" s="3" t="s">
        <v>85</v>
      </c>
      <c r="G3" s="3" t="s">
        <v>58</v>
      </c>
      <c r="H3" s="3" t="s">
        <v>96</v>
      </c>
      <c r="I3" s="3" t="s">
        <v>97</v>
      </c>
      <c r="J3" s="3" t="s">
        <v>86</v>
      </c>
    </row>
    <row r="4" spans="1:10" x14ac:dyDescent="0.35">
      <c r="A4" s="10" t="str">
        <f>IF(Registro_Contenedores!A4="","",Registro_Contenedores!A4)</f>
        <v>MSCU4510021</v>
      </c>
      <c r="B4" s="10" t="str">
        <f>IF($A4="","",Registro_Contenedores!B4)</f>
        <v>PED-260401</v>
      </c>
      <c r="C4" s="10" t="str">
        <f>IF($A4="","",Registro_Contenedores!E4)</f>
        <v>MSC</v>
      </c>
      <c r="D4" s="10" t="str">
        <f>IF($A4="","",Registro_Contenedores!H4)</f>
        <v>CGSA</v>
      </c>
      <c r="E4" s="10">
        <f>IF($A4="","",Planif_Grupasa!G4)</f>
        <v>46119</v>
      </c>
      <c r="F4" s="10" t="str">
        <f>IF($A4="","",Planif_Grupasa!I4)</f>
        <v>08:00</v>
      </c>
      <c r="G4" s="10" t="str">
        <f>IF($A4="","",Registro_Contenedores!K4)</f>
        <v>MEDLOG</v>
      </c>
      <c r="H4" s="11">
        <v>46117</v>
      </c>
      <c r="I4" s="11">
        <v>46124</v>
      </c>
      <c r="J4" s="9" t="s">
        <v>98</v>
      </c>
    </row>
    <row r="5" spans="1:10" x14ac:dyDescent="0.35">
      <c r="A5" s="10" t="str">
        <f>IF(Registro_Contenedores!A5="","",Registro_Contenedores!A5)</f>
        <v>CMAU3381450</v>
      </c>
      <c r="B5" s="10" t="str">
        <f>IF($A5="","",Registro_Contenedores!B5)</f>
        <v>PED-260402</v>
      </c>
      <c r="C5" s="10" t="str">
        <f>IF($A5="","",Registro_Contenedores!E5)</f>
        <v>CMA CGM</v>
      </c>
      <c r="D5" s="10" t="str">
        <f>IF($A5="","",Registro_Contenedores!H5)</f>
        <v>NAPORTEC</v>
      </c>
      <c r="E5" s="10">
        <f>IF($A5="","",Planif_Grupasa!G5)</f>
        <v>46120</v>
      </c>
      <c r="F5" s="10" t="str">
        <f>IF($A5="","",Planif_Grupasa!I5)</f>
        <v>10:30</v>
      </c>
      <c r="G5" s="10" t="str">
        <f>IF($A5="","",Registro_Contenedores!K5)</f>
        <v>BLASTI</v>
      </c>
      <c r="H5" s="11">
        <v>46118</v>
      </c>
      <c r="I5" s="11">
        <v>46125</v>
      </c>
      <c r="J5" s="9"/>
    </row>
    <row r="6" spans="1:10" x14ac:dyDescent="0.35">
      <c r="A6" s="10" t="str">
        <f>IF(Registro_Contenedores!A6="","",Registro_Contenedores!A6)</f>
        <v>MSCU4102298</v>
      </c>
      <c r="B6" s="10" t="str">
        <f>IF($A6="","",Registro_Contenedores!B6)</f>
        <v>PED-260403</v>
      </c>
      <c r="C6" s="10" t="str">
        <f>IF($A6="","",Registro_Contenedores!E6)</f>
        <v>MSC</v>
      </c>
      <c r="D6" s="10" t="str">
        <f>IF($A6="","",Registro_Contenedores!H6)</f>
        <v>TPG</v>
      </c>
      <c r="E6" s="10">
        <f>IF($A6="","",Planif_Grupasa!G6)</f>
        <v>46121</v>
      </c>
      <c r="F6" s="10" t="str">
        <f>IF($A6="","",Planif_Grupasa!I6)</f>
        <v>07:45</v>
      </c>
      <c r="G6" s="10" t="str">
        <f>IF($A6="","",Registro_Contenedores!K6)</f>
        <v>RFS</v>
      </c>
      <c r="H6" s="11">
        <v>46119</v>
      </c>
      <c r="I6" s="11">
        <v>46126</v>
      </c>
      <c r="J6" s="9" t="s">
        <v>99</v>
      </c>
    </row>
    <row r="7" spans="1:10" x14ac:dyDescent="0.35">
      <c r="A7" s="10" t="str">
        <f>IF(Registro_Contenedores!A7="","",Registro_Contenedores!A7)</f>
        <v>MAEU9928113</v>
      </c>
      <c r="B7" s="10" t="str">
        <f>IF($A7="","",Registro_Contenedores!B7)</f>
        <v>PED-260404</v>
      </c>
      <c r="C7" s="10" t="str">
        <f>IF($A7="","",Registro_Contenedores!E7)</f>
        <v>MAERSK</v>
      </c>
      <c r="D7" s="10" t="str">
        <f>IF($A7="","",Registro_Contenedores!H7)</f>
        <v>POSORJA</v>
      </c>
      <c r="E7" s="10">
        <f>IF($A7="","",Planif_Grupasa!G7)</f>
        <v>46122</v>
      </c>
      <c r="F7" s="10" t="str">
        <f>IF($A7="","",Planif_Grupasa!I7)</f>
        <v>11:00</v>
      </c>
      <c r="G7" s="10" t="str">
        <f>IF($A7="","",Registro_Contenedores!K7)</f>
        <v>CONTECON VACIOS</v>
      </c>
      <c r="H7" s="11">
        <v>46120</v>
      </c>
      <c r="I7" s="11">
        <v>46127</v>
      </c>
      <c r="J7" s="9"/>
    </row>
    <row r="8" spans="1:10" x14ac:dyDescent="0.35">
      <c r="A8" s="10" t="str">
        <f>IF(Registro_Contenedores!A8="","",Registro_Contenedores!A8)</f>
        <v>HLBU5543219</v>
      </c>
      <c r="B8" s="10" t="str">
        <f>IF($A8="","",Registro_Contenedores!B8)</f>
        <v>PED-260405</v>
      </c>
      <c r="C8" s="10" t="str">
        <f>IF($A8="","",Registro_Contenedores!E8)</f>
        <v>HALO</v>
      </c>
      <c r="D8" s="10" t="str">
        <f>IF($A8="","",Registro_Contenedores!H8)</f>
        <v>CGSA</v>
      </c>
      <c r="E8" s="10">
        <f>IF($A8="","",Planif_Grupasa!G8)</f>
        <v>46123</v>
      </c>
      <c r="F8" s="10" t="str">
        <f>IF($A8="","",Planif_Grupasa!I8)</f>
        <v>09:15</v>
      </c>
      <c r="G8" s="10" t="str">
        <f>IF($A8="","",Registro_Contenedores!K8)</f>
        <v>MEDLOG</v>
      </c>
      <c r="H8" s="11">
        <v>46121</v>
      </c>
      <c r="I8" s="11">
        <v>46128</v>
      </c>
      <c r="J8" s="9" t="s">
        <v>100</v>
      </c>
    </row>
    <row r="9" spans="1:10" x14ac:dyDescent="0.35">
      <c r="A9" s="10" t="str">
        <f>IF(Registro_Contenedores!A9="","",Registro_Contenedores!A9)</f>
        <v/>
      </c>
      <c r="B9" s="10" t="str">
        <f>IF($A9="","",Registro_Contenedores!B9)</f>
        <v/>
      </c>
      <c r="C9" s="10" t="str">
        <f>IF($A9="","",Registro_Contenedores!E9)</f>
        <v/>
      </c>
      <c r="D9" s="10" t="str">
        <f>IF($A9="","",Registro_Contenedores!H9)</f>
        <v/>
      </c>
      <c r="E9" s="10" t="str">
        <f>IF($A9="","",Planif_Grupasa!G9)</f>
        <v/>
      </c>
      <c r="F9" s="10" t="str">
        <f>IF($A9="","",Planif_Grupasa!I9)</f>
        <v/>
      </c>
      <c r="G9" s="10" t="str">
        <f>IF($A9="","",Registro_Contenedores!K9)</f>
        <v/>
      </c>
      <c r="H9" s="9"/>
      <c r="I9" s="9"/>
      <c r="J9" s="9"/>
    </row>
    <row r="10" spans="1:10" x14ac:dyDescent="0.35">
      <c r="A10" s="10" t="str">
        <f>IF(Registro_Contenedores!A10="","",Registro_Contenedores!A10)</f>
        <v/>
      </c>
      <c r="B10" s="10" t="str">
        <f>IF($A10="","",Registro_Contenedores!B10)</f>
        <v/>
      </c>
      <c r="C10" s="10" t="str">
        <f>IF($A10="","",Registro_Contenedores!E10)</f>
        <v/>
      </c>
      <c r="D10" s="10" t="str">
        <f>IF($A10="","",Registro_Contenedores!H10)</f>
        <v/>
      </c>
      <c r="E10" s="10" t="str">
        <f>IF($A10="","",Planif_Grupasa!G10)</f>
        <v/>
      </c>
      <c r="F10" s="10" t="str">
        <f>IF($A10="","",Planif_Grupasa!I10)</f>
        <v/>
      </c>
      <c r="G10" s="10" t="str">
        <f>IF($A10="","",Registro_Contenedores!K10)</f>
        <v/>
      </c>
      <c r="H10" s="9"/>
      <c r="I10" s="9"/>
      <c r="J10" s="9"/>
    </row>
    <row r="11" spans="1:10" x14ac:dyDescent="0.35">
      <c r="A11" s="10" t="str">
        <f>IF(Registro_Contenedores!A11="","",Registro_Contenedores!A11)</f>
        <v/>
      </c>
      <c r="B11" s="10" t="str">
        <f>IF($A11="","",Registro_Contenedores!B11)</f>
        <v/>
      </c>
      <c r="C11" s="10" t="str">
        <f>IF($A11="","",Registro_Contenedores!E11)</f>
        <v/>
      </c>
      <c r="D11" s="10" t="str">
        <f>IF($A11="","",Registro_Contenedores!H11)</f>
        <v/>
      </c>
      <c r="E11" s="10" t="str">
        <f>IF($A11="","",Planif_Grupasa!G11)</f>
        <v/>
      </c>
      <c r="F11" s="10" t="str">
        <f>IF($A11="","",Planif_Grupasa!I11)</f>
        <v/>
      </c>
      <c r="G11" s="10" t="str">
        <f>IF($A11="","",Registro_Contenedores!K11)</f>
        <v/>
      </c>
      <c r="H11" s="9"/>
      <c r="I11" s="9"/>
      <c r="J11" s="9"/>
    </row>
    <row r="12" spans="1:10" x14ac:dyDescent="0.35">
      <c r="A12" s="10" t="str">
        <f>IF(Registro_Contenedores!A12="","",Registro_Contenedores!A12)</f>
        <v/>
      </c>
      <c r="B12" s="10" t="str">
        <f>IF($A12="","",Registro_Contenedores!B12)</f>
        <v/>
      </c>
      <c r="C12" s="10" t="str">
        <f>IF($A12="","",Registro_Contenedores!E12)</f>
        <v/>
      </c>
      <c r="D12" s="10" t="str">
        <f>IF($A12="","",Registro_Contenedores!H12)</f>
        <v/>
      </c>
      <c r="E12" s="10" t="str">
        <f>IF($A12="","",Planif_Grupasa!G12)</f>
        <v/>
      </c>
      <c r="F12" s="10" t="str">
        <f>IF($A12="","",Planif_Grupasa!I12)</f>
        <v/>
      </c>
      <c r="G12" s="10" t="str">
        <f>IF($A12="","",Registro_Contenedores!K12)</f>
        <v/>
      </c>
      <c r="H12" s="9"/>
      <c r="I12" s="9"/>
      <c r="J12" s="9"/>
    </row>
    <row r="13" spans="1:10" x14ac:dyDescent="0.35">
      <c r="A13" s="10" t="str">
        <f>IF(Registro_Contenedores!A13="","",Registro_Contenedores!A13)</f>
        <v/>
      </c>
      <c r="B13" s="10" t="str">
        <f>IF($A13="","",Registro_Contenedores!B13)</f>
        <v/>
      </c>
      <c r="C13" s="10" t="str">
        <f>IF($A13="","",Registro_Contenedores!E13)</f>
        <v/>
      </c>
      <c r="D13" s="10" t="str">
        <f>IF($A13="","",Registro_Contenedores!H13)</f>
        <v/>
      </c>
      <c r="E13" s="10" t="str">
        <f>IF($A13="","",Planif_Grupasa!G13)</f>
        <v/>
      </c>
      <c r="F13" s="10" t="str">
        <f>IF($A13="","",Planif_Grupasa!I13)</f>
        <v/>
      </c>
      <c r="G13" s="10" t="str">
        <f>IF($A13="","",Registro_Contenedores!K13)</f>
        <v/>
      </c>
      <c r="H13" s="9"/>
      <c r="I13" s="9"/>
      <c r="J13" s="9"/>
    </row>
    <row r="14" spans="1:10" x14ac:dyDescent="0.35">
      <c r="A14" s="10" t="str">
        <f>IF(Registro_Contenedores!A14="","",Registro_Contenedores!A14)</f>
        <v/>
      </c>
      <c r="B14" s="10" t="str">
        <f>IF($A14="","",Registro_Contenedores!B14)</f>
        <v/>
      </c>
      <c r="C14" s="10" t="str">
        <f>IF($A14="","",Registro_Contenedores!E14)</f>
        <v/>
      </c>
      <c r="D14" s="10" t="str">
        <f>IF($A14="","",Registro_Contenedores!H14)</f>
        <v/>
      </c>
      <c r="E14" s="10" t="str">
        <f>IF($A14="","",Planif_Grupasa!G14)</f>
        <v/>
      </c>
      <c r="F14" s="10" t="str">
        <f>IF($A14="","",Planif_Grupasa!I14)</f>
        <v/>
      </c>
      <c r="G14" s="10" t="str">
        <f>IF($A14="","",Registro_Contenedores!K14)</f>
        <v/>
      </c>
      <c r="H14" s="9"/>
      <c r="I14" s="9"/>
      <c r="J14" s="9"/>
    </row>
    <row r="15" spans="1:10" x14ac:dyDescent="0.35">
      <c r="A15" s="10" t="str">
        <f>IF(Registro_Contenedores!A15="","",Registro_Contenedores!A15)</f>
        <v/>
      </c>
      <c r="B15" s="10" t="str">
        <f>IF($A15="","",Registro_Contenedores!B15)</f>
        <v/>
      </c>
      <c r="C15" s="10" t="str">
        <f>IF($A15="","",Registro_Contenedores!E15)</f>
        <v/>
      </c>
      <c r="D15" s="10" t="str">
        <f>IF($A15="","",Registro_Contenedores!H15)</f>
        <v/>
      </c>
      <c r="E15" s="10" t="str">
        <f>IF($A15="","",Planif_Grupasa!G15)</f>
        <v/>
      </c>
      <c r="F15" s="10" t="str">
        <f>IF($A15="","",Planif_Grupasa!I15)</f>
        <v/>
      </c>
      <c r="G15" s="10" t="str">
        <f>IF($A15="","",Registro_Contenedores!K15)</f>
        <v/>
      </c>
      <c r="H15" s="9"/>
      <c r="I15" s="9"/>
      <c r="J15" s="9"/>
    </row>
    <row r="16" spans="1:10" x14ac:dyDescent="0.35">
      <c r="A16" s="10" t="str">
        <f>IF(Registro_Contenedores!A16="","",Registro_Contenedores!A16)</f>
        <v/>
      </c>
      <c r="B16" s="10" t="str">
        <f>IF($A16="","",Registro_Contenedores!B16)</f>
        <v/>
      </c>
      <c r="C16" s="10" t="str">
        <f>IF($A16="","",Registro_Contenedores!E16)</f>
        <v/>
      </c>
      <c r="D16" s="10" t="str">
        <f>IF($A16="","",Registro_Contenedores!H16)</f>
        <v/>
      </c>
      <c r="E16" s="10" t="str">
        <f>IF($A16="","",Planif_Grupasa!G16)</f>
        <v/>
      </c>
      <c r="F16" s="10" t="str">
        <f>IF($A16="","",Planif_Grupasa!I16)</f>
        <v/>
      </c>
      <c r="G16" s="10" t="str">
        <f>IF($A16="","",Registro_Contenedores!K16)</f>
        <v/>
      </c>
      <c r="H16" s="9"/>
      <c r="I16" s="9"/>
      <c r="J16" s="9"/>
    </row>
    <row r="17" spans="1:10" x14ac:dyDescent="0.35">
      <c r="A17" s="10" t="str">
        <f>IF(Registro_Contenedores!A17="","",Registro_Contenedores!A17)</f>
        <v/>
      </c>
      <c r="B17" s="10" t="str">
        <f>IF($A17="","",Registro_Contenedores!B17)</f>
        <v/>
      </c>
      <c r="C17" s="10" t="str">
        <f>IF($A17="","",Registro_Contenedores!E17)</f>
        <v/>
      </c>
      <c r="D17" s="10" t="str">
        <f>IF($A17="","",Registro_Contenedores!H17)</f>
        <v/>
      </c>
      <c r="E17" s="10" t="str">
        <f>IF($A17="","",Planif_Grupasa!G17)</f>
        <v/>
      </c>
      <c r="F17" s="10" t="str">
        <f>IF($A17="","",Planif_Grupasa!I17)</f>
        <v/>
      </c>
      <c r="G17" s="10" t="str">
        <f>IF($A17="","",Registro_Contenedores!K17)</f>
        <v/>
      </c>
      <c r="H17" s="9"/>
      <c r="I17" s="9"/>
      <c r="J17" s="9"/>
    </row>
    <row r="18" spans="1:10" x14ac:dyDescent="0.35">
      <c r="A18" s="10" t="str">
        <f>IF(Registro_Contenedores!A18="","",Registro_Contenedores!A18)</f>
        <v/>
      </c>
      <c r="B18" s="10" t="str">
        <f>IF($A18="","",Registro_Contenedores!B18)</f>
        <v/>
      </c>
      <c r="C18" s="10" t="str">
        <f>IF($A18="","",Registro_Contenedores!E18)</f>
        <v/>
      </c>
      <c r="D18" s="10" t="str">
        <f>IF($A18="","",Registro_Contenedores!H18)</f>
        <v/>
      </c>
      <c r="E18" s="10" t="str">
        <f>IF($A18="","",Planif_Grupasa!G18)</f>
        <v/>
      </c>
      <c r="F18" s="10" t="str">
        <f>IF($A18="","",Planif_Grupasa!I18)</f>
        <v/>
      </c>
      <c r="G18" s="10" t="str">
        <f>IF($A18="","",Registro_Contenedores!K18)</f>
        <v/>
      </c>
      <c r="H18" s="9"/>
      <c r="I18" s="9"/>
      <c r="J18" s="9"/>
    </row>
    <row r="19" spans="1:10" x14ac:dyDescent="0.35">
      <c r="A19" s="10" t="str">
        <f>IF(Registro_Contenedores!A19="","",Registro_Contenedores!A19)</f>
        <v/>
      </c>
      <c r="B19" s="10" t="str">
        <f>IF($A19="","",Registro_Contenedores!B19)</f>
        <v/>
      </c>
      <c r="C19" s="10" t="str">
        <f>IF($A19="","",Registro_Contenedores!E19)</f>
        <v/>
      </c>
      <c r="D19" s="10" t="str">
        <f>IF($A19="","",Registro_Contenedores!H19)</f>
        <v/>
      </c>
      <c r="E19" s="10" t="str">
        <f>IF($A19="","",Planif_Grupasa!G19)</f>
        <v/>
      </c>
      <c r="F19" s="10" t="str">
        <f>IF($A19="","",Planif_Grupasa!I19)</f>
        <v/>
      </c>
      <c r="G19" s="10" t="str">
        <f>IF($A19="","",Registro_Contenedores!K19)</f>
        <v/>
      </c>
      <c r="H19" s="9"/>
      <c r="I19" s="9"/>
      <c r="J19" s="9"/>
    </row>
    <row r="20" spans="1:10" x14ac:dyDescent="0.35">
      <c r="A20" s="10" t="str">
        <f>IF(Registro_Contenedores!A20="","",Registro_Contenedores!A20)</f>
        <v/>
      </c>
      <c r="B20" s="10" t="str">
        <f>IF($A20="","",Registro_Contenedores!B20)</f>
        <v/>
      </c>
      <c r="C20" s="10" t="str">
        <f>IF($A20="","",Registro_Contenedores!E20)</f>
        <v/>
      </c>
      <c r="D20" s="10" t="str">
        <f>IF($A20="","",Registro_Contenedores!H20)</f>
        <v/>
      </c>
      <c r="E20" s="10" t="str">
        <f>IF($A20="","",Planif_Grupasa!G20)</f>
        <v/>
      </c>
      <c r="F20" s="10" t="str">
        <f>IF($A20="","",Planif_Grupasa!I20)</f>
        <v/>
      </c>
      <c r="G20" s="10" t="str">
        <f>IF($A20="","",Registro_Contenedores!K20)</f>
        <v/>
      </c>
      <c r="H20" s="9"/>
      <c r="I20" s="9"/>
      <c r="J20" s="9"/>
    </row>
    <row r="21" spans="1:10" x14ac:dyDescent="0.35">
      <c r="A21" s="10" t="str">
        <f>IF(Registro_Contenedores!A21="","",Registro_Contenedores!A21)</f>
        <v/>
      </c>
      <c r="B21" s="10" t="str">
        <f>IF($A21="","",Registro_Contenedores!B21)</f>
        <v/>
      </c>
      <c r="C21" s="10" t="str">
        <f>IF($A21="","",Registro_Contenedores!E21)</f>
        <v/>
      </c>
      <c r="D21" s="10" t="str">
        <f>IF($A21="","",Registro_Contenedores!H21)</f>
        <v/>
      </c>
      <c r="E21" s="10" t="str">
        <f>IF($A21="","",Planif_Grupasa!G21)</f>
        <v/>
      </c>
      <c r="F21" s="10" t="str">
        <f>IF($A21="","",Planif_Grupasa!I21)</f>
        <v/>
      </c>
      <c r="G21" s="10" t="str">
        <f>IF($A21="","",Registro_Contenedores!K21)</f>
        <v/>
      </c>
      <c r="H21" s="9"/>
      <c r="I21" s="9"/>
      <c r="J21" s="9"/>
    </row>
    <row r="22" spans="1:10" x14ac:dyDescent="0.35">
      <c r="A22" s="10" t="str">
        <f>IF(Registro_Contenedores!A22="","",Registro_Contenedores!A22)</f>
        <v/>
      </c>
      <c r="B22" s="10" t="str">
        <f>IF($A22="","",Registro_Contenedores!B22)</f>
        <v/>
      </c>
      <c r="C22" s="10" t="str">
        <f>IF($A22="","",Registro_Contenedores!E22)</f>
        <v/>
      </c>
      <c r="D22" s="10" t="str">
        <f>IF($A22="","",Registro_Contenedores!H22)</f>
        <v/>
      </c>
      <c r="E22" s="10" t="str">
        <f>IF($A22="","",Planif_Grupasa!G22)</f>
        <v/>
      </c>
      <c r="F22" s="10" t="str">
        <f>IF($A22="","",Planif_Grupasa!I22)</f>
        <v/>
      </c>
      <c r="G22" s="10" t="str">
        <f>IF($A22="","",Registro_Contenedores!K22)</f>
        <v/>
      </c>
      <c r="H22" s="9"/>
      <c r="I22" s="9"/>
      <c r="J22" s="9"/>
    </row>
    <row r="23" spans="1:10" x14ac:dyDescent="0.35">
      <c r="A23" s="10" t="str">
        <f>IF(Registro_Contenedores!A23="","",Registro_Contenedores!A23)</f>
        <v/>
      </c>
      <c r="B23" s="10" t="str">
        <f>IF($A23="","",Registro_Contenedores!B23)</f>
        <v/>
      </c>
      <c r="C23" s="10" t="str">
        <f>IF($A23="","",Registro_Contenedores!E23)</f>
        <v/>
      </c>
      <c r="D23" s="10" t="str">
        <f>IF($A23="","",Registro_Contenedores!H23)</f>
        <v/>
      </c>
      <c r="E23" s="10" t="str">
        <f>IF($A23="","",Planif_Grupasa!G23)</f>
        <v/>
      </c>
      <c r="F23" s="10" t="str">
        <f>IF($A23="","",Planif_Grupasa!I23)</f>
        <v/>
      </c>
      <c r="G23" s="10" t="str">
        <f>IF($A23="","",Registro_Contenedores!K23)</f>
        <v/>
      </c>
      <c r="H23" s="9"/>
      <c r="I23" s="9"/>
      <c r="J23" s="9"/>
    </row>
    <row r="24" spans="1:10" x14ac:dyDescent="0.35">
      <c r="A24" s="10" t="str">
        <f>IF(Registro_Contenedores!A24="","",Registro_Contenedores!A24)</f>
        <v/>
      </c>
      <c r="B24" s="10" t="str">
        <f>IF($A24="","",Registro_Contenedores!B24)</f>
        <v/>
      </c>
      <c r="C24" s="10" t="str">
        <f>IF($A24="","",Registro_Contenedores!E24)</f>
        <v/>
      </c>
      <c r="D24" s="10" t="str">
        <f>IF($A24="","",Registro_Contenedores!H24)</f>
        <v/>
      </c>
      <c r="E24" s="10" t="str">
        <f>IF($A24="","",Planif_Grupasa!G24)</f>
        <v/>
      </c>
      <c r="F24" s="10" t="str">
        <f>IF($A24="","",Planif_Grupasa!I24)</f>
        <v/>
      </c>
      <c r="G24" s="10" t="str">
        <f>IF($A24="","",Registro_Contenedores!K24)</f>
        <v/>
      </c>
      <c r="H24" s="9"/>
      <c r="I24" s="9"/>
      <c r="J24" s="9"/>
    </row>
    <row r="25" spans="1:10" x14ac:dyDescent="0.35">
      <c r="A25" s="10" t="str">
        <f>IF(Registro_Contenedores!A25="","",Registro_Contenedores!A25)</f>
        <v/>
      </c>
      <c r="B25" s="10" t="str">
        <f>IF($A25="","",Registro_Contenedores!B25)</f>
        <v/>
      </c>
      <c r="C25" s="10" t="str">
        <f>IF($A25="","",Registro_Contenedores!E25)</f>
        <v/>
      </c>
      <c r="D25" s="10" t="str">
        <f>IF($A25="","",Registro_Contenedores!H25)</f>
        <v/>
      </c>
      <c r="E25" s="10" t="str">
        <f>IF($A25="","",Planif_Grupasa!G25)</f>
        <v/>
      </c>
      <c r="F25" s="10" t="str">
        <f>IF($A25="","",Planif_Grupasa!I25)</f>
        <v/>
      </c>
      <c r="G25" s="10" t="str">
        <f>IF($A25="","",Registro_Contenedores!K25)</f>
        <v/>
      </c>
      <c r="H25" s="9"/>
      <c r="I25" s="9"/>
      <c r="J25" s="9"/>
    </row>
    <row r="26" spans="1:10" x14ac:dyDescent="0.35">
      <c r="A26" s="10" t="str">
        <f>IF(Registro_Contenedores!A26="","",Registro_Contenedores!A26)</f>
        <v/>
      </c>
      <c r="B26" s="10" t="str">
        <f>IF($A26="","",Registro_Contenedores!B26)</f>
        <v/>
      </c>
      <c r="C26" s="10" t="str">
        <f>IF($A26="","",Registro_Contenedores!E26)</f>
        <v/>
      </c>
      <c r="D26" s="10" t="str">
        <f>IF($A26="","",Registro_Contenedores!H26)</f>
        <v/>
      </c>
      <c r="E26" s="10" t="str">
        <f>IF($A26="","",Planif_Grupasa!G26)</f>
        <v/>
      </c>
      <c r="F26" s="10" t="str">
        <f>IF($A26="","",Planif_Grupasa!I26)</f>
        <v/>
      </c>
      <c r="G26" s="10" t="str">
        <f>IF($A26="","",Registro_Contenedores!K26)</f>
        <v/>
      </c>
      <c r="H26" s="9"/>
      <c r="I26" s="9"/>
      <c r="J26" s="9"/>
    </row>
    <row r="27" spans="1:10" x14ac:dyDescent="0.35">
      <c r="A27" s="10" t="str">
        <f>IF(Registro_Contenedores!A27="","",Registro_Contenedores!A27)</f>
        <v/>
      </c>
      <c r="B27" s="10" t="str">
        <f>IF($A27="","",Registro_Contenedores!B27)</f>
        <v/>
      </c>
      <c r="C27" s="10" t="str">
        <f>IF($A27="","",Registro_Contenedores!E27)</f>
        <v/>
      </c>
      <c r="D27" s="10" t="str">
        <f>IF($A27="","",Registro_Contenedores!H27)</f>
        <v/>
      </c>
      <c r="E27" s="10" t="str">
        <f>IF($A27="","",Planif_Grupasa!G27)</f>
        <v/>
      </c>
      <c r="F27" s="10" t="str">
        <f>IF($A27="","",Planif_Grupasa!I27)</f>
        <v/>
      </c>
      <c r="G27" s="10" t="str">
        <f>IF($A27="","",Registro_Contenedores!K27)</f>
        <v/>
      </c>
      <c r="H27" s="9"/>
      <c r="I27" s="9"/>
      <c r="J27" s="9"/>
    </row>
    <row r="28" spans="1:10" x14ac:dyDescent="0.35">
      <c r="A28" s="10" t="str">
        <f>IF(Registro_Contenedores!A28="","",Registro_Contenedores!A28)</f>
        <v/>
      </c>
      <c r="B28" s="10" t="str">
        <f>IF($A28="","",Registro_Contenedores!B28)</f>
        <v/>
      </c>
      <c r="C28" s="10" t="str">
        <f>IF($A28="","",Registro_Contenedores!E28)</f>
        <v/>
      </c>
      <c r="D28" s="10" t="str">
        <f>IF($A28="","",Registro_Contenedores!H28)</f>
        <v/>
      </c>
      <c r="E28" s="10" t="str">
        <f>IF($A28="","",Planif_Grupasa!G28)</f>
        <v/>
      </c>
      <c r="F28" s="10" t="str">
        <f>IF($A28="","",Planif_Grupasa!I28)</f>
        <v/>
      </c>
      <c r="G28" s="10" t="str">
        <f>IF($A28="","",Registro_Contenedores!K28)</f>
        <v/>
      </c>
      <c r="H28" s="9"/>
      <c r="I28" s="9"/>
      <c r="J28" s="9"/>
    </row>
    <row r="29" spans="1:10" x14ac:dyDescent="0.35">
      <c r="A29" s="10" t="str">
        <f>IF(Registro_Contenedores!A29="","",Registro_Contenedores!A29)</f>
        <v/>
      </c>
      <c r="B29" s="10" t="str">
        <f>IF($A29="","",Registro_Contenedores!B29)</f>
        <v/>
      </c>
      <c r="C29" s="10" t="str">
        <f>IF($A29="","",Registro_Contenedores!E29)</f>
        <v/>
      </c>
      <c r="D29" s="10" t="str">
        <f>IF($A29="","",Registro_Contenedores!H29)</f>
        <v/>
      </c>
      <c r="E29" s="10" t="str">
        <f>IF($A29="","",Planif_Grupasa!G29)</f>
        <v/>
      </c>
      <c r="F29" s="10" t="str">
        <f>IF($A29="","",Planif_Grupasa!I29)</f>
        <v/>
      </c>
      <c r="G29" s="10" t="str">
        <f>IF($A29="","",Registro_Contenedores!K29)</f>
        <v/>
      </c>
      <c r="H29" s="9"/>
      <c r="I29" s="9"/>
      <c r="J29" s="9"/>
    </row>
    <row r="30" spans="1:10" x14ac:dyDescent="0.35">
      <c r="A30" s="10" t="str">
        <f>IF(Registro_Contenedores!A30="","",Registro_Contenedores!A30)</f>
        <v/>
      </c>
      <c r="B30" s="10" t="str">
        <f>IF($A30="","",Registro_Contenedores!B30)</f>
        <v/>
      </c>
      <c r="C30" s="10" t="str">
        <f>IF($A30="","",Registro_Contenedores!E30)</f>
        <v/>
      </c>
      <c r="D30" s="10" t="str">
        <f>IF($A30="","",Registro_Contenedores!H30)</f>
        <v/>
      </c>
      <c r="E30" s="10" t="str">
        <f>IF($A30="","",Planif_Grupasa!G30)</f>
        <v/>
      </c>
      <c r="F30" s="10" t="str">
        <f>IF($A30="","",Planif_Grupasa!I30)</f>
        <v/>
      </c>
      <c r="G30" s="10" t="str">
        <f>IF($A30="","",Registro_Contenedores!K30)</f>
        <v/>
      </c>
      <c r="H30" s="9"/>
      <c r="I30" s="9"/>
      <c r="J30" s="9"/>
    </row>
    <row r="31" spans="1:10" x14ac:dyDescent="0.35">
      <c r="A31" s="10" t="str">
        <f>IF(Registro_Contenedores!A31="","",Registro_Contenedores!A31)</f>
        <v/>
      </c>
      <c r="B31" s="10" t="str">
        <f>IF($A31="","",Registro_Contenedores!B31)</f>
        <v/>
      </c>
      <c r="C31" s="10" t="str">
        <f>IF($A31="","",Registro_Contenedores!E31)</f>
        <v/>
      </c>
      <c r="D31" s="10" t="str">
        <f>IF($A31="","",Registro_Contenedores!H31)</f>
        <v/>
      </c>
      <c r="E31" s="10" t="str">
        <f>IF($A31="","",Planif_Grupasa!G31)</f>
        <v/>
      </c>
      <c r="F31" s="10" t="str">
        <f>IF($A31="","",Planif_Grupasa!I31)</f>
        <v/>
      </c>
      <c r="G31" s="10" t="str">
        <f>IF($A31="","",Registro_Contenedores!K31)</f>
        <v/>
      </c>
      <c r="H31" s="9"/>
      <c r="I31" s="9"/>
      <c r="J31" s="9"/>
    </row>
    <row r="32" spans="1:10" x14ac:dyDescent="0.35">
      <c r="A32" s="10" t="str">
        <f>IF(Registro_Contenedores!A32="","",Registro_Contenedores!A32)</f>
        <v/>
      </c>
      <c r="B32" s="10" t="str">
        <f>IF($A32="","",Registro_Contenedores!B32)</f>
        <v/>
      </c>
      <c r="C32" s="10" t="str">
        <f>IF($A32="","",Registro_Contenedores!E32)</f>
        <v/>
      </c>
      <c r="D32" s="10" t="str">
        <f>IF($A32="","",Registro_Contenedores!H32)</f>
        <v/>
      </c>
      <c r="E32" s="10" t="str">
        <f>IF($A32="","",Planif_Grupasa!G32)</f>
        <v/>
      </c>
      <c r="F32" s="10" t="str">
        <f>IF($A32="","",Planif_Grupasa!I32)</f>
        <v/>
      </c>
      <c r="G32" s="10" t="str">
        <f>IF($A32="","",Registro_Contenedores!K32)</f>
        <v/>
      </c>
      <c r="H32" s="9"/>
      <c r="I32" s="9"/>
      <c r="J32" s="9"/>
    </row>
    <row r="33" spans="1:10" x14ac:dyDescent="0.35">
      <c r="A33" s="10" t="str">
        <f>IF(Registro_Contenedores!A33="","",Registro_Contenedores!A33)</f>
        <v/>
      </c>
      <c r="B33" s="10" t="str">
        <f>IF($A33="","",Registro_Contenedores!B33)</f>
        <v/>
      </c>
      <c r="C33" s="10" t="str">
        <f>IF($A33="","",Registro_Contenedores!E33)</f>
        <v/>
      </c>
      <c r="D33" s="10" t="str">
        <f>IF($A33="","",Registro_Contenedores!H33)</f>
        <v/>
      </c>
      <c r="E33" s="10" t="str">
        <f>IF($A33="","",Planif_Grupasa!G33)</f>
        <v/>
      </c>
      <c r="F33" s="10" t="str">
        <f>IF($A33="","",Planif_Grupasa!I33)</f>
        <v/>
      </c>
      <c r="G33" s="10" t="str">
        <f>IF($A33="","",Registro_Contenedores!K33)</f>
        <v/>
      </c>
      <c r="H33" s="9"/>
      <c r="I33" s="9"/>
      <c r="J33" s="9"/>
    </row>
    <row r="34" spans="1:10" x14ac:dyDescent="0.35">
      <c r="A34" s="10" t="str">
        <f>IF(Registro_Contenedores!A34="","",Registro_Contenedores!A34)</f>
        <v/>
      </c>
      <c r="B34" s="10" t="str">
        <f>IF($A34="","",Registro_Contenedores!B34)</f>
        <v/>
      </c>
      <c r="C34" s="10" t="str">
        <f>IF($A34="","",Registro_Contenedores!E34)</f>
        <v/>
      </c>
      <c r="D34" s="10" t="str">
        <f>IF($A34="","",Registro_Contenedores!H34)</f>
        <v/>
      </c>
      <c r="E34" s="10" t="str">
        <f>IF($A34="","",Planif_Grupasa!G34)</f>
        <v/>
      </c>
      <c r="F34" s="10" t="str">
        <f>IF($A34="","",Planif_Grupasa!I34)</f>
        <v/>
      </c>
      <c r="G34" s="10" t="str">
        <f>IF($A34="","",Registro_Contenedores!K34)</f>
        <v/>
      </c>
      <c r="H34" s="9"/>
      <c r="I34" s="9"/>
      <c r="J34" s="9"/>
    </row>
    <row r="35" spans="1:10" x14ac:dyDescent="0.35">
      <c r="A35" s="10" t="str">
        <f>IF(Registro_Contenedores!A35="","",Registro_Contenedores!A35)</f>
        <v/>
      </c>
      <c r="B35" s="10" t="str">
        <f>IF($A35="","",Registro_Contenedores!B35)</f>
        <v/>
      </c>
      <c r="C35" s="10" t="str">
        <f>IF($A35="","",Registro_Contenedores!E35)</f>
        <v/>
      </c>
      <c r="D35" s="10" t="str">
        <f>IF($A35="","",Registro_Contenedores!H35)</f>
        <v/>
      </c>
      <c r="E35" s="10" t="str">
        <f>IF($A35="","",Planif_Grupasa!G35)</f>
        <v/>
      </c>
      <c r="F35" s="10" t="str">
        <f>IF($A35="","",Planif_Grupasa!I35)</f>
        <v/>
      </c>
      <c r="G35" s="10" t="str">
        <f>IF($A35="","",Registro_Contenedores!K35)</f>
        <v/>
      </c>
      <c r="H35" s="9"/>
      <c r="I35" s="9"/>
      <c r="J35" s="9"/>
    </row>
    <row r="36" spans="1:10" x14ac:dyDescent="0.35">
      <c r="A36" s="10" t="str">
        <f>IF(Registro_Contenedores!A36="","",Registro_Contenedores!A36)</f>
        <v/>
      </c>
      <c r="B36" s="10" t="str">
        <f>IF($A36="","",Registro_Contenedores!B36)</f>
        <v/>
      </c>
      <c r="C36" s="10" t="str">
        <f>IF($A36="","",Registro_Contenedores!E36)</f>
        <v/>
      </c>
      <c r="D36" s="10" t="str">
        <f>IF($A36="","",Registro_Contenedores!H36)</f>
        <v/>
      </c>
      <c r="E36" s="10" t="str">
        <f>IF($A36="","",Planif_Grupasa!G36)</f>
        <v/>
      </c>
      <c r="F36" s="10" t="str">
        <f>IF($A36="","",Planif_Grupasa!I36)</f>
        <v/>
      </c>
      <c r="G36" s="10" t="str">
        <f>IF($A36="","",Registro_Contenedores!K36)</f>
        <v/>
      </c>
      <c r="H36" s="9"/>
      <c r="I36" s="9"/>
      <c r="J36" s="9"/>
    </row>
    <row r="37" spans="1:10" x14ac:dyDescent="0.35">
      <c r="A37" s="10" t="str">
        <f>IF(Registro_Contenedores!A37="","",Registro_Contenedores!A37)</f>
        <v/>
      </c>
      <c r="B37" s="10" t="str">
        <f>IF($A37="","",Registro_Contenedores!B37)</f>
        <v/>
      </c>
      <c r="C37" s="10" t="str">
        <f>IF($A37="","",Registro_Contenedores!E37)</f>
        <v/>
      </c>
      <c r="D37" s="10" t="str">
        <f>IF($A37="","",Registro_Contenedores!H37)</f>
        <v/>
      </c>
      <c r="E37" s="10" t="str">
        <f>IF($A37="","",Planif_Grupasa!G37)</f>
        <v/>
      </c>
      <c r="F37" s="10" t="str">
        <f>IF($A37="","",Planif_Grupasa!I37)</f>
        <v/>
      </c>
      <c r="G37" s="10" t="str">
        <f>IF($A37="","",Registro_Contenedores!K37)</f>
        <v/>
      </c>
      <c r="H37" s="9"/>
      <c r="I37" s="9"/>
      <c r="J37" s="9"/>
    </row>
    <row r="38" spans="1:10" x14ac:dyDescent="0.35">
      <c r="A38" s="10" t="str">
        <f>IF(Registro_Contenedores!A38="","",Registro_Contenedores!A38)</f>
        <v/>
      </c>
      <c r="B38" s="10" t="str">
        <f>IF($A38="","",Registro_Contenedores!B38)</f>
        <v/>
      </c>
      <c r="C38" s="10" t="str">
        <f>IF($A38="","",Registro_Contenedores!E38)</f>
        <v/>
      </c>
      <c r="D38" s="10" t="str">
        <f>IF($A38="","",Registro_Contenedores!H38)</f>
        <v/>
      </c>
      <c r="E38" s="10" t="str">
        <f>IF($A38="","",Planif_Grupasa!G38)</f>
        <v/>
      </c>
      <c r="F38" s="10" t="str">
        <f>IF($A38="","",Planif_Grupasa!I38)</f>
        <v/>
      </c>
      <c r="G38" s="10" t="str">
        <f>IF($A38="","",Registro_Contenedores!K38)</f>
        <v/>
      </c>
      <c r="H38" s="9"/>
      <c r="I38" s="9"/>
      <c r="J38" s="9"/>
    </row>
    <row r="39" spans="1:10" x14ac:dyDescent="0.35">
      <c r="A39" s="10" t="str">
        <f>IF(Registro_Contenedores!A39="","",Registro_Contenedores!A39)</f>
        <v/>
      </c>
      <c r="B39" s="10" t="str">
        <f>IF($A39="","",Registro_Contenedores!B39)</f>
        <v/>
      </c>
      <c r="C39" s="10" t="str">
        <f>IF($A39="","",Registro_Contenedores!E39)</f>
        <v/>
      </c>
      <c r="D39" s="10" t="str">
        <f>IF($A39="","",Registro_Contenedores!H39)</f>
        <v/>
      </c>
      <c r="E39" s="10" t="str">
        <f>IF($A39="","",Planif_Grupasa!G39)</f>
        <v/>
      </c>
      <c r="F39" s="10" t="str">
        <f>IF($A39="","",Planif_Grupasa!I39)</f>
        <v/>
      </c>
      <c r="G39" s="10" t="str">
        <f>IF($A39="","",Registro_Contenedores!K39)</f>
        <v/>
      </c>
      <c r="H39" s="9"/>
      <c r="I39" s="9"/>
      <c r="J39" s="9"/>
    </row>
    <row r="40" spans="1:10" x14ac:dyDescent="0.35">
      <c r="A40" s="10" t="str">
        <f>IF(Registro_Contenedores!A40="","",Registro_Contenedores!A40)</f>
        <v/>
      </c>
      <c r="B40" s="10" t="str">
        <f>IF($A40="","",Registro_Contenedores!B40)</f>
        <v/>
      </c>
      <c r="C40" s="10" t="str">
        <f>IF($A40="","",Registro_Contenedores!E40)</f>
        <v/>
      </c>
      <c r="D40" s="10" t="str">
        <f>IF($A40="","",Registro_Contenedores!H40)</f>
        <v/>
      </c>
      <c r="E40" s="10" t="str">
        <f>IF($A40="","",Planif_Grupasa!G40)</f>
        <v/>
      </c>
      <c r="F40" s="10" t="str">
        <f>IF($A40="","",Planif_Grupasa!I40)</f>
        <v/>
      </c>
      <c r="G40" s="10" t="str">
        <f>IF($A40="","",Registro_Contenedores!K40)</f>
        <v/>
      </c>
      <c r="H40" s="9"/>
      <c r="I40" s="9"/>
      <c r="J40" s="9"/>
    </row>
    <row r="41" spans="1:10" x14ac:dyDescent="0.35">
      <c r="A41" s="10" t="str">
        <f>IF(Registro_Contenedores!A41="","",Registro_Contenedores!A41)</f>
        <v/>
      </c>
      <c r="B41" s="10" t="str">
        <f>IF($A41="","",Registro_Contenedores!B41)</f>
        <v/>
      </c>
      <c r="C41" s="10" t="str">
        <f>IF($A41="","",Registro_Contenedores!E41)</f>
        <v/>
      </c>
      <c r="D41" s="10" t="str">
        <f>IF($A41="","",Registro_Contenedores!H41)</f>
        <v/>
      </c>
      <c r="E41" s="10" t="str">
        <f>IF($A41="","",Planif_Grupasa!G41)</f>
        <v/>
      </c>
      <c r="F41" s="10" t="str">
        <f>IF($A41="","",Planif_Grupasa!I41)</f>
        <v/>
      </c>
      <c r="G41" s="10" t="str">
        <f>IF($A41="","",Registro_Contenedores!K41)</f>
        <v/>
      </c>
      <c r="H41" s="9"/>
      <c r="I41" s="9"/>
      <c r="J41" s="9"/>
    </row>
    <row r="42" spans="1:10" x14ac:dyDescent="0.35">
      <c r="A42" s="10" t="str">
        <f>IF(Registro_Contenedores!A42="","",Registro_Contenedores!A42)</f>
        <v/>
      </c>
      <c r="B42" s="10" t="str">
        <f>IF($A42="","",Registro_Contenedores!B42)</f>
        <v/>
      </c>
      <c r="C42" s="10" t="str">
        <f>IF($A42="","",Registro_Contenedores!E42)</f>
        <v/>
      </c>
      <c r="D42" s="10" t="str">
        <f>IF($A42="","",Registro_Contenedores!H42)</f>
        <v/>
      </c>
      <c r="E42" s="10" t="str">
        <f>IF($A42="","",Planif_Grupasa!G42)</f>
        <v/>
      </c>
      <c r="F42" s="10" t="str">
        <f>IF($A42="","",Planif_Grupasa!I42)</f>
        <v/>
      </c>
      <c r="G42" s="10" t="str">
        <f>IF($A42="","",Registro_Contenedores!K42)</f>
        <v/>
      </c>
      <c r="H42" s="9"/>
      <c r="I42" s="9"/>
      <c r="J42" s="9"/>
    </row>
    <row r="43" spans="1:10" x14ac:dyDescent="0.35">
      <c r="A43" s="10" t="str">
        <f>IF(Registro_Contenedores!A43="","",Registro_Contenedores!A43)</f>
        <v/>
      </c>
      <c r="B43" s="10" t="str">
        <f>IF($A43="","",Registro_Contenedores!B43)</f>
        <v/>
      </c>
      <c r="C43" s="10" t="str">
        <f>IF($A43="","",Registro_Contenedores!E43)</f>
        <v/>
      </c>
      <c r="D43" s="10" t="str">
        <f>IF($A43="","",Registro_Contenedores!H43)</f>
        <v/>
      </c>
      <c r="E43" s="10" t="str">
        <f>IF($A43="","",Planif_Grupasa!G43)</f>
        <v/>
      </c>
      <c r="F43" s="10" t="str">
        <f>IF($A43="","",Planif_Grupasa!I43)</f>
        <v/>
      </c>
      <c r="G43" s="10" t="str">
        <f>IF($A43="","",Registro_Contenedores!K43)</f>
        <v/>
      </c>
      <c r="H43" s="9"/>
      <c r="I43" s="9"/>
      <c r="J43" s="9"/>
    </row>
    <row r="44" spans="1:10" x14ac:dyDescent="0.35">
      <c r="A44" s="10" t="str">
        <f>IF(Registro_Contenedores!A44="","",Registro_Contenedores!A44)</f>
        <v/>
      </c>
      <c r="B44" s="10" t="str">
        <f>IF($A44="","",Registro_Contenedores!B44)</f>
        <v/>
      </c>
      <c r="C44" s="10" t="str">
        <f>IF($A44="","",Registro_Contenedores!E44)</f>
        <v/>
      </c>
      <c r="D44" s="10" t="str">
        <f>IF($A44="","",Registro_Contenedores!H44)</f>
        <v/>
      </c>
      <c r="E44" s="10" t="str">
        <f>IF($A44="","",Planif_Grupasa!G44)</f>
        <v/>
      </c>
      <c r="F44" s="10" t="str">
        <f>IF($A44="","",Planif_Grupasa!I44)</f>
        <v/>
      </c>
      <c r="G44" s="10" t="str">
        <f>IF($A44="","",Registro_Contenedores!K44)</f>
        <v/>
      </c>
      <c r="H44" s="9"/>
      <c r="I44" s="9"/>
      <c r="J44" s="9"/>
    </row>
    <row r="45" spans="1:10" x14ac:dyDescent="0.35">
      <c r="A45" s="10" t="str">
        <f>IF(Registro_Contenedores!A45="","",Registro_Contenedores!A45)</f>
        <v/>
      </c>
      <c r="B45" s="10" t="str">
        <f>IF($A45="","",Registro_Contenedores!B45)</f>
        <v/>
      </c>
      <c r="C45" s="10" t="str">
        <f>IF($A45="","",Registro_Contenedores!E45)</f>
        <v/>
      </c>
      <c r="D45" s="10" t="str">
        <f>IF($A45="","",Registro_Contenedores!H45)</f>
        <v/>
      </c>
      <c r="E45" s="10" t="str">
        <f>IF($A45="","",Planif_Grupasa!G45)</f>
        <v/>
      </c>
      <c r="F45" s="10" t="str">
        <f>IF($A45="","",Planif_Grupasa!I45)</f>
        <v/>
      </c>
      <c r="G45" s="10" t="str">
        <f>IF($A45="","",Registro_Contenedores!K45)</f>
        <v/>
      </c>
      <c r="H45" s="9"/>
      <c r="I45" s="9"/>
      <c r="J45" s="9"/>
    </row>
    <row r="46" spans="1:10" x14ac:dyDescent="0.35">
      <c r="A46" s="10" t="str">
        <f>IF(Registro_Contenedores!A46="","",Registro_Contenedores!A46)</f>
        <v/>
      </c>
      <c r="B46" s="10" t="str">
        <f>IF($A46="","",Registro_Contenedores!B46)</f>
        <v/>
      </c>
      <c r="C46" s="10" t="str">
        <f>IF($A46="","",Registro_Contenedores!E46)</f>
        <v/>
      </c>
      <c r="D46" s="10" t="str">
        <f>IF($A46="","",Registro_Contenedores!H46)</f>
        <v/>
      </c>
      <c r="E46" s="10" t="str">
        <f>IF($A46="","",Planif_Grupasa!G46)</f>
        <v/>
      </c>
      <c r="F46" s="10" t="str">
        <f>IF($A46="","",Planif_Grupasa!I46)</f>
        <v/>
      </c>
      <c r="G46" s="10" t="str">
        <f>IF($A46="","",Registro_Contenedores!K46)</f>
        <v/>
      </c>
      <c r="H46" s="9"/>
      <c r="I46" s="9"/>
      <c r="J46" s="9"/>
    </row>
    <row r="47" spans="1:10" x14ac:dyDescent="0.35">
      <c r="A47" s="10" t="str">
        <f>IF(Registro_Contenedores!A47="","",Registro_Contenedores!A47)</f>
        <v/>
      </c>
      <c r="B47" s="10" t="str">
        <f>IF($A47="","",Registro_Contenedores!B47)</f>
        <v/>
      </c>
      <c r="C47" s="10" t="str">
        <f>IF($A47="","",Registro_Contenedores!E47)</f>
        <v/>
      </c>
      <c r="D47" s="10" t="str">
        <f>IF($A47="","",Registro_Contenedores!H47)</f>
        <v/>
      </c>
      <c r="E47" s="10" t="str">
        <f>IF($A47="","",Planif_Grupasa!G47)</f>
        <v/>
      </c>
      <c r="F47" s="10" t="str">
        <f>IF($A47="","",Planif_Grupasa!I47)</f>
        <v/>
      </c>
      <c r="G47" s="10" t="str">
        <f>IF($A47="","",Registro_Contenedores!K47)</f>
        <v/>
      </c>
      <c r="H47" s="9"/>
      <c r="I47" s="9"/>
      <c r="J47" s="9"/>
    </row>
    <row r="48" spans="1:10" x14ac:dyDescent="0.35">
      <c r="A48" s="10" t="str">
        <f>IF(Registro_Contenedores!A48="","",Registro_Contenedores!A48)</f>
        <v/>
      </c>
      <c r="B48" s="10" t="str">
        <f>IF($A48="","",Registro_Contenedores!B48)</f>
        <v/>
      </c>
      <c r="C48" s="10" t="str">
        <f>IF($A48="","",Registro_Contenedores!E48)</f>
        <v/>
      </c>
      <c r="D48" s="10" t="str">
        <f>IF($A48="","",Registro_Contenedores!H48)</f>
        <v/>
      </c>
      <c r="E48" s="10" t="str">
        <f>IF($A48="","",Planif_Grupasa!G48)</f>
        <v/>
      </c>
      <c r="F48" s="10" t="str">
        <f>IF($A48="","",Planif_Grupasa!I48)</f>
        <v/>
      </c>
      <c r="G48" s="10" t="str">
        <f>IF($A48="","",Registro_Contenedores!K48)</f>
        <v/>
      </c>
      <c r="H48" s="9"/>
      <c r="I48" s="9"/>
      <c r="J48" s="9"/>
    </row>
    <row r="49" spans="1:10" x14ac:dyDescent="0.35">
      <c r="A49" s="10" t="str">
        <f>IF(Registro_Contenedores!A49="","",Registro_Contenedores!A49)</f>
        <v/>
      </c>
      <c r="B49" s="10" t="str">
        <f>IF($A49="","",Registro_Contenedores!B49)</f>
        <v/>
      </c>
      <c r="C49" s="10" t="str">
        <f>IF($A49="","",Registro_Contenedores!E49)</f>
        <v/>
      </c>
      <c r="D49" s="10" t="str">
        <f>IF($A49="","",Registro_Contenedores!H49)</f>
        <v/>
      </c>
      <c r="E49" s="10" t="str">
        <f>IF($A49="","",Planif_Grupasa!G49)</f>
        <v/>
      </c>
      <c r="F49" s="10" t="str">
        <f>IF($A49="","",Planif_Grupasa!I49)</f>
        <v/>
      </c>
      <c r="G49" s="10" t="str">
        <f>IF($A49="","",Registro_Contenedores!K49)</f>
        <v/>
      </c>
      <c r="H49" s="9"/>
      <c r="I49" s="9"/>
      <c r="J49" s="9"/>
    </row>
    <row r="50" spans="1:10" x14ac:dyDescent="0.35">
      <c r="A50" s="10" t="str">
        <f>IF(Registro_Contenedores!A50="","",Registro_Contenedores!A50)</f>
        <v/>
      </c>
      <c r="B50" s="10" t="str">
        <f>IF($A50="","",Registro_Contenedores!B50)</f>
        <v/>
      </c>
      <c r="C50" s="10" t="str">
        <f>IF($A50="","",Registro_Contenedores!E50)</f>
        <v/>
      </c>
      <c r="D50" s="10" t="str">
        <f>IF($A50="","",Registro_Contenedores!H50)</f>
        <v/>
      </c>
      <c r="E50" s="10" t="str">
        <f>IF($A50="","",Planif_Grupasa!G50)</f>
        <v/>
      </c>
      <c r="F50" s="10" t="str">
        <f>IF($A50="","",Planif_Grupasa!I50)</f>
        <v/>
      </c>
      <c r="G50" s="10" t="str">
        <f>IF($A50="","",Registro_Contenedores!K50)</f>
        <v/>
      </c>
      <c r="H50" s="9"/>
      <c r="I50" s="9"/>
      <c r="J50" s="9"/>
    </row>
    <row r="51" spans="1:10" x14ac:dyDescent="0.35">
      <c r="A51" s="10" t="str">
        <f>IF(Registro_Contenedores!A51="","",Registro_Contenedores!A51)</f>
        <v/>
      </c>
      <c r="B51" s="10" t="str">
        <f>IF($A51="","",Registro_Contenedores!B51)</f>
        <v/>
      </c>
      <c r="C51" s="10" t="str">
        <f>IF($A51="","",Registro_Contenedores!E51)</f>
        <v/>
      </c>
      <c r="D51" s="10" t="str">
        <f>IF($A51="","",Registro_Contenedores!H51)</f>
        <v/>
      </c>
      <c r="E51" s="10" t="str">
        <f>IF($A51="","",Planif_Grupasa!G51)</f>
        <v/>
      </c>
      <c r="F51" s="10" t="str">
        <f>IF($A51="","",Planif_Grupasa!I51)</f>
        <v/>
      </c>
      <c r="G51" s="10" t="str">
        <f>IF($A51="","",Registro_Contenedores!K51)</f>
        <v/>
      </c>
      <c r="H51" s="9"/>
      <c r="I51" s="9"/>
      <c r="J51" s="9"/>
    </row>
    <row r="52" spans="1:10" x14ac:dyDescent="0.35">
      <c r="A52" s="10" t="str">
        <f>IF(Registro_Contenedores!A52="","",Registro_Contenedores!A52)</f>
        <v/>
      </c>
      <c r="B52" s="10" t="str">
        <f>IF($A52="","",Registro_Contenedores!B52)</f>
        <v/>
      </c>
      <c r="C52" s="10" t="str">
        <f>IF($A52="","",Registro_Contenedores!E52)</f>
        <v/>
      </c>
      <c r="D52" s="10" t="str">
        <f>IF($A52="","",Registro_Contenedores!H52)</f>
        <v/>
      </c>
      <c r="E52" s="10" t="str">
        <f>IF($A52="","",Planif_Grupasa!G52)</f>
        <v/>
      </c>
      <c r="F52" s="10" t="str">
        <f>IF($A52="","",Planif_Grupasa!I52)</f>
        <v/>
      </c>
      <c r="G52" s="10" t="str">
        <f>IF($A52="","",Registro_Contenedores!K52)</f>
        <v/>
      </c>
      <c r="H52" s="9"/>
      <c r="I52" s="9"/>
      <c r="J52" s="9"/>
    </row>
    <row r="53" spans="1:10" x14ac:dyDescent="0.35">
      <c r="A53" s="10" t="str">
        <f>IF(Registro_Contenedores!A53="","",Registro_Contenedores!A53)</f>
        <v/>
      </c>
      <c r="B53" s="10" t="str">
        <f>IF($A53="","",Registro_Contenedores!B53)</f>
        <v/>
      </c>
      <c r="C53" s="10" t="str">
        <f>IF($A53="","",Registro_Contenedores!E53)</f>
        <v/>
      </c>
      <c r="D53" s="10" t="str">
        <f>IF($A53="","",Registro_Contenedores!H53)</f>
        <v/>
      </c>
      <c r="E53" s="10" t="str">
        <f>IF($A53="","",Planif_Grupasa!G53)</f>
        <v/>
      </c>
      <c r="F53" s="10" t="str">
        <f>IF($A53="","",Planif_Grupasa!I53)</f>
        <v/>
      </c>
      <c r="G53" s="10" t="str">
        <f>IF($A53="","",Registro_Contenedores!K53)</f>
        <v/>
      </c>
      <c r="H53" s="9"/>
      <c r="I53" s="9"/>
      <c r="J53" s="9"/>
    </row>
    <row r="54" spans="1:10" x14ac:dyDescent="0.35">
      <c r="A54" s="10" t="str">
        <f>IF(Registro_Contenedores!A54="","",Registro_Contenedores!A54)</f>
        <v/>
      </c>
      <c r="B54" s="10" t="str">
        <f>IF($A54="","",Registro_Contenedores!B54)</f>
        <v/>
      </c>
      <c r="C54" s="10" t="str">
        <f>IF($A54="","",Registro_Contenedores!E54)</f>
        <v/>
      </c>
      <c r="D54" s="10" t="str">
        <f>IF($A54="","",Registro_Contenedores!H54)</f>
        <v/>
      </c>
      <c r="E54" s="10" t="str">
        <f>IF($A54="","",Planif_Grupasa!G54)</f>
        <v/>
      </c>
      <c r="F54" s="10" t="str">
        <f>IF($A54="","",Planif_Grupasa!I54)</f>
        <v/>
      </c>
      <c r="G54" s="10" t="str">
        <f>IF($A54="","",Registro_Contenedores!K54)</f>
        <v/>
      </c>
      <c r="H54" s="9"/>
      <c r="I54" s="9"/>
      <c r="J54" s="9"/>
    </row>
    <row r="55" spans="1:10" x14ac:dyDescent="0.35">
      <c r="A55" s="10" t="str">
        <f>IF(Registro_Contenedores!A55="","",Registro_Contenedores!A55)</f>
        <v/>
      </c>
      <c r="B55" s="10" t="str">
        <f>IF($A55="","",Registro_Contenedores!B55)</f>
        <v/>
      </c>
      <c r="C55" s="10" t="str">
        <f>IF($A55="","",Registro_Contenedores!E55)</f>
        <v/>
      </c>
      <c r="D55" s="10" t="str">
        <f>IF($A55="","",Registro_Contenedores!H55)</f>
        <v/>
      </c>
      <c r="E55" s="10" t="str">
        <f>IF($A55="","",Planif_Grupasa!G55)</f>
        <v/>
      </c>
      <c r="F55" s="10" t="str">
        <f>IF($A55="","",Planif_Grupasa!I55)</f>
        <v/>
      </c>
      <c r="G55" s="10" t="str">
        <f>IF($A55="","",Registro_Contenedores!K55)</f>
        <v/>
      </c>
      <c r="H55" s="9"/>
      <c r="I55" s="9"/>
      <c r="J55" s="9"/>
    </row>
    <row r="56" spans="1:10" x14ac:dyDescent="0.35">
      <c r="A56" s="10" t="str">
        <f>IF(Registro_Contenedores!A56="","",Registro_Contenedores!A56)</f>
        <v/>
      </c>
      <c r="B56" s="10" t="str">
        <f>IF($A56="","",Registro_Contenedores!B56)</f>
        <v/>
      </c>
      <c r="C56" s="10" t="str">
        <f>IF($A56="","",Registro_Contenedores!E56)</f>
        <v/>
      </c>
      <c r="D56" s="10" t="str">
        <f>IF($A56="","",Registro_Contenedores!H56)</f>
        <v/>
      </c>
      <c r="E56" s="10" t="str">
        <f>IF($A56="","",Planif_Grupasa!G56)</f>
        <v/>
      </c>
      <c r="F56" s="10" t="str">
        <f>IF($A56="","",Planif_Grupasa!I56)</f>
        <v/>
      </c>
      <c r="G56" s="10" t="str">
        <f>IF($A56="","",Registro_Contenedores!K56)</f>
        <v/>
      </c>
      <c r="H56" s="9"/>
      <c r="I56" s="9"/>
      <c r="J56" s="9"/>
    </row>
    <row r="57" spans="1:10" x14ac:dyDescent="0.35">
      <c r="A57" s="10" t="str">
        <f>IF(Registro_Contenedores!A57="","",Registro_Contenedores!A57)</f>
        <v/>
      </c>
      <c r="B57" s="10" t="str">
        <f>IF($A57="","",Registro_Contenedores!B57)</f>
        <v/>
      </c>
      <c r="C57" s="10" t="str">
        <f>IF($A57="","",Registro_Contenedores!E57)</f>
        <v/>
      </c>
      <c r="D57" s="10" t="str">
        <f>IF($A57="","",Registro_Contenedores!H57)</f>
        <v/>
      </c>
      <c r="E57" s="10" t="str">
        <f>IF($A57="","",Planif_Grupasa!G57)</f>
        <v/>
      </c>
      <c r="F57" s="10" t="str">
        <f>IF($A57="","",Planif_Grupasa!I57)</f>
        <v/>
      </c>
      <c r="G57" s="10" t="str">
        <f>IF($A57="","",Registro_Contenedores!K57)</f>
        <v/>
      </c>
      <c r="H57" s="9"/>
      <c r="I57" s="9"/>
      <c r="J57" s="9"/>
    </row>
    <row r="58" spans="1:10" x14ac:dyDescent="0.35">
      <c r="A58" s="10" t="str">
        <f>IF(Registro_Contenedores!A58="","",Registro_Contenedores!A58)</f>
        <v/>
      </c>
      <c r="B58" s="10" t="str">
        <f>IF($A58="","",Registro_Contenedores!B58)</f>
        <v/>
      </c>
      <c r="C58" s="10" t="str">
        <f>IF($A58="","",Registro_Contenedores!E58)</f>
        <v/>
      </c>
      <c r="D58" s="10" t="str">
        <f>IF($A58="","",Registro_Contenedores!H58)</f>
        <v/>
      </c>
      <c r="E58" s="10" t="str">
        <f>IF($A58="","",Planif_Grupasa!G58)</f>
        <v/>
      </c>
      <c r="F58" s="10" t="str">
        <f>IF($A58="","",Planif_Grupasa!I58)</f>
        <v/>
      </c>
      <c r="G58" s="10" t="str">
        <f>IF($A58="","",Registro_Contenedores!K58)</f>
        <v/>
      </c>
      <c r="H58" s="9"/>
      <c r="I58" s="9"/>
      <c r="J58" s="9"/>
    </row>
    <row r="59" spans="1:10" x14ac:dyDescent="0.35">
      <c r="A59" s="10" t="str">
        <f>IF(Registro_Contenedores!A59="","",Registro_Contenedores!A59)</f>
        <v/>
      </c>
      <c r="B59" s="10" t="str">
        <f>IF($A59="","",Registro_Contenedores!B59)</f>
        <v/>
      </c>
      <c r="C59" s="10" t="str">
        <f>IF($A59="","",Registro_Contenedores!E59)</f>
        <v/>
      </c>
      <c r="D59" s="10" t="str">
        <f>IF($A59="","",Registro_Contenedores!H59)</f>
        <v/>
      </c>
      <c r="E59" s="10" t="str">
        <f>IF($A59="","",Planif_Grupasa!G59)</f>
        <v/>
      </c>
      <c r="F59" s="10" t="str">
        <f>IF($A59="","",Planif_Grupasa!I59)</f>
        <v/>
      </c>
      <c r="G59" s="10" t="str">
        <f>IF($A59="","",Registro_Contenedores!K59)</f>
        <v/>
      </c>
      <c r="H59" s="9"/>
      <c r="I59" s="9"/>
      <c r="J59" s="9"/>
    </row>
    <row r="60" spans="1:10" x14ac:dyDescent="0.35">
      <c r="A60" s="10" t="str">
        <f>IF(Registro_Contenedores!A60="","",Registro_Contenedores!A60)</f>
        <v/>
      </c>
      <c r="B60" s="10" t="str">
        <f>IF($A60="","",Registro_Contenedores!B60)</f>
        <v/>
      </c>
      <c r="C60" s="10" t="str">
        <f>IF($A60="","",Registro_Contenedores!E60)</f>
        <v/>
      </c>
      <c r="D60" s="10" t="str">
        <f>IF($A60="","",Registro_Contenedores!H60)</f>
        <v/>
      </c>
      <c r="E60" s="10" t="str">
        <f>IF($A60="","",Planif_Grupasa!G60)</f>
        <v/>
      </c>
      <c r="F60" s="10" t="str">
        <f>IF($A60="","",Planif_Grupasa!I60)</f>
        <v/>
      </c>
      <c r="G60" s="10" t="str">
        <f>IF($A60="","",Registro_Contenedores!K60)</f>
        <v/>
      </c>
      <c r="H60" s="9"/>
      <c r="I60" s="9"/>
      <c r="J60" s="9"/>
    </row>
    <row r="61" spans="1:10" x14ac:dyDescent="0.35">
      <c r="A61" s="10" t="str">
        <f>IF(Registro_Contenedores!A61="","",Registro_Contenedores!A61)</f>
        <v/>
      </c>
      <c r="B61" s="10" t="str">
        <f>IF($A61="","",Registro_Contenedores!B61)</f>
        <v/>
      </c>
      <c r="C61" s="10" t="str">
        <f>IF($A61="","",Registro_Contenedores!E61)</f>
        <v/>
      </c>
      <c r="D61" s="10" t="str">
        <f>IF($A61="","",Registro_Contenedores!H61)</f>
        <v/>
      </c>
      <c r="E61" s="10" t="str">
        <f>IF($A61="","",Planif_Grupasa!G61)</f>
        <v/>
      </c>
      <c r="F61" s="10" t="str">
        <f>IF($A61="","",Planif_Grupasa!I61)</f>
        <v/>
      </c>
      <c r="G61" s="10" t="str">
        <f>IF($A61="","",Registro_Contenedores!K61)</f>
        <v/>
      </c>
      <c r="H61" s="9"/>
      <c r="I61" s="9"/>
      <c r="J61" s="9"/>
    </row>
    <row r="62" spans="1:10" x14ac:dyDescent="0.35">
      <c r="A62" s="10" t="str">
        <f>IF(Registro_Contenedores!A62="","",Registro_Contenedores!A62)</f>
        <v/>
      </c>
      <c r="B62" s="10" t="str">
        <f>IF($A62="","",Registro_Contenedores!B62)</f>
        <v/>
      </c>
      <c r="C62" s="10" t="str">
        <f>IF($A62="","",Registro_Contenedores!E62)</f>
        <v/>
      </c>
      <c r="D62" s="10" t="str">
        <f>IF($A62="","",Registro_Contenedores!H62)</f>
        <v/>
      </c>
      <c r="E62" s="10" t="str">
        <f>IF($A62="","",Planif_Grupasa!G62)</f>
        <v/>
      </c>
      <c r="F62" s="10" t="str">
        <f>IF($A62="","",Planif_Grupasa!I62)</f>
        <v/>
      </c>
      <c r="G62" s="10" t="str">
        <f>IF($A62="","",Registro_Contenedores!K62)</f>
        <v/>
      </c>
      <c r="H62" s="9"/>
      <c r="I62" s="9"/>
      <c r="J62" s="9"/>
    </row>
    <row r="63" spans="1:10" x14ac:dyDescent="0.35">
      <c r="A63" s="10" t="str">
        <f>IF(Registro_Contenedores!A63="","",Registro_Contenedores!A63)</f>
        <v/>
      </c>
      <c r="B63" s="10" t="str">
        <f>IF($A63="","",Registro_Contenedores!B63)</f>
        <v/>
      </c>
      <c r="C63" s="10" t="str">
        <f>IF($A63="","",Registro_Contenedores!E63)</f>
        <v/>
      </c>
      <c r="D63" s="10" t="str">
        <f>IF($A63="","",Registro_Contenedores!H63)</f>
        <v/>
      </c>
      <c r="E63" s="10" t="str">
        <f>IF($A63="","",Planif_Grupasa!G63)</f>
        <v/>
      </c>
      <c r="F63" s="10" t="str">
        <f>IF($A63="","",Planif_Grupasa!I63)</f>
        <v/>
      </c>
      <c r="G63" s="10" t="str">
        <f>IF($A63="","",Registro_Contenedores!K63)</f>
        <v/>
      </c>
      <c r="H63" s="9"/>
      <c r="I63" s="9"/>
      <c r="J63" s="9"/>
    </row>
    <row r="64" spans="1:10" x14ac:dyDescent="0.35">
      <c r="A64" s="10" t="str">
        <f>IF(Registro_Contenedores!A64="","",Registro_Contenedores!A64)</f>
        <v/>
      </c>
      <c r="B64" s="10" t="str">
        <f>IF($A64="","",Registro_Contenedores!B64)</f>
        <v/>
      </c>
      <c r="C64" s="10" t="str">
        <f>IF($A64="","",Registro_Contenedores!E64)</f>
        <v/>
      </c>
      <c r="D64" s="10" t="str">
        <f>IF($A64="","",Registro_Contenedores!H64)</f>
        <v/>
      </c>
      <c r="E64" s="10" t="str">
        <f>IF($A64="","",Planif_Grupasa!G64)</f>
        <v/>
      </c>
      <c r="F64" s="10" t="str">
        <f>IF($A64="","",Planif_Grupasa!I64)</f>
        <v/>
      </c>
      <c r="G64" s="10" t="str">
        <f>IF($A64="","",Registro_Contenedores!K64)</f>
        <v/>
      </c>
      <c r="H64" s="9"/>
      <c r="I64" s="9"/>
      <c r="J64" s="9"/>
    </row>
    <row r="65" spans="1:10" x14ac:dyDescent="0.35">
      <c r="A65" s="10" t="str">
        <f>IF(Registro_Contenedores!A65="","",Registro_Contenedores!A65)</f>
        <v/>
      </c>
      <c r="B65" s="10" t="str">
        <f>IF($A65="","",Registro_Contenedores!B65)</f>
        <v/>
      </c>
      <c r="C65" s="10" t="str">
        <f>IF($A65="","",Registro_Contenedores!E65)</f>
        <v/>
      </c>
      <c r="D65" s="10" t="str">
        <f>IF($A65="","",Registro_Contenedores!H65)</f>
        <v/>
      </c>
      <c r="E65" s="10" t="str">
        <f>IF($A65="","",Planif_Grupasa!G65)</f>
        <v/>
      </c>
      <c r="F65" s="10" t="str">
        <f>IF($A65="","",Planif_Grupasa!I65)</f>
        <v/>
      </c>
      <c r="G65" s="10" t="str">
        <f>IF($A65="","",Registro_Contenedores!K65)</f>
        <v/>
      </c>
      <c r="H65" s="9"/>
      <c r="I65" s="9"/>
      <c r="J65" s="9"/>
    </row>
    <row r="66" spans="1:10" x14ac:dyDescent="0.35">
      <c r="A66" s="10" t="str">
        <f>IF(Registro_Contenedores!A66="","",Registro_Contenedores!A66)</f>
        <v/>
      </c>
      <c r="B66" s="10" t="str">
        <f>IF($A66="","",Registro_Contenedores!B66)</f>
        <v/>
      </c>
      <c r="C66" s="10" t="str">
        <f>IF($A66="","",Registro_Contenedores!E66)</f>
        <v/>
      </c>
      <c r="D66" s="10" t="str">
        <f>IF($A66="","",Registro_Contenedores!H66)</f>
        <v/>
      </c>
      <c r="E66" s="10" t="str">
        <f>IF($A66="","",Planif_Grupasa!G66)</f>
        <v/>
      </c>
      <c r="F66" s="10" t="str">
        <f>IF($A66="","",Planif_Grupasa!I66)</f>
        <v/>
      </c>
      <c r="G66" s="10" t="str">
        <f>IF($A66="","",Registro_Contenedores!K66)</f>
        <v/>
      </c>
      <c r="H66" s="9"/>
      <c r="I66" s="9"/>
      <c r="J66" s="9"/>
    </row>
    <row r="67" spans="1:10" x14ac:dyDescent="0.35">
      <c r="A67" s="10" t="str">
        <f>IF(Registro_Contenedores!A67="","",Registro_Contenedores!A67)</f>
        <v/>
      </c>
      <c r="B67" s="10" t="str">
        <f>IF($A67="","",Registro_Contenedores!B67)</f>
        <v/>
      </c>
      <c r="C67" s="10" t="str">
        <f>IF($A67="","",Registro_Contenedores!E67)</f>
        <v/>
      </c>
      <c r="D67" s="10" t="str">
        <f>IF($A67="","",Registro_Contenedores!H67)</f>
        <v/>
      </c>
      <c r="E67" s="10" t="str">
        <f>IF($A67="","",Planif_Grupasa!G67)</f>
        <v/>
      </c>
      <c r="F67" s="10" t="str">
        <f>IF($A67="","",Planif_Grupasa!I67)</f>
        <v/>
      </c>
      <c r="G67" s="10" t="str">
        <f>IF($A67="","",Registro_Contenedores!K67)</f>
        <v/>
      </c>
      <c r="H67" s="9"/>
      <c r="I67" s="9"/>
      <c r="J67" s="9"/>
    </row>
    <row r="68" spans="1:10" x14ac:dyDescent="0.35">
      <c r="A68" s="10" t="str">
        <f>IF(Registro_Contenedores!A68="","",Registro_Contenedores!A68)</f>
        <v/>
      </c>
      <c r="B68" s="10" t="str">
        <f>IF($A68="","",Registro_Contenedores!B68)</f>
        <v/>
      </c>
      <c r="C68" s="10" t="str">
        <f>IF($A68="","",Registro_Contenedores!E68)</f>
        <v/>
      </c>
      <c r="D68" s="10" t="str">
        <f>IF($A68="","",Registro_Contenedores!H68)</f>
        <v/>
      </c>
      <c r="E68" s="10" t="str">
        <f>IF($A68="","",Planif_Grupasa!G68)</f>
        <v/>
      </c>
      <c r="F68" s="10" t="str">
        <f>IF($A68="","",Planif_Grupasa!I68)</f>
        <v/>
      </c>
      <c r="G68" s="10" t="str">
        <f>IF($A68="","",Registro_Contenedores!K68)</f>
        <v/>
      </c>
      <c r="H68" s="9"/>
      <c r="I68" s="9"/>
      <c r="J68" s="9"/>
    </row>
    <row r="69" spans="1:10" x14ac:dyDescent="0.35">
      <c r="A69" s="10" t="str">
        <f>IF(Registro_Contenedores!A69="","",Registro_Contenedores!A69)</f>
        <v/>
      </c>
      <c r="B69" s="10" t="str">
        <f>IF($A69="","",Registro_Contenedores!B69)</f>
        <v/>
      </c>
      <c r="C69" s="10" t="str">
        <f>IF($A69="","",Registro_Contenedores!E69)</f>
        <v/>
      </c>
      <c r="D69" s="10" t="str">
        <f>IF($A69="","",Registro_Contenedores!H69)</f>
        <v/>
      </c>
      <c r="E69" s="10" t="str">
        <f>IF($A69="","",Planif_Grupasa!G69)</f>
        <v/>
      </c>
      <c r="F69" s="10" t="str">
        <f>IF($A69="","",Planif_Grupasa!I69)</f>
        <v/>
      </c>
      <c r="G69" s="10" t="str">
        <f>IF($A69="","",Registro_Contenedores!K69)</f>
        <v/>
      </c>
      <c r="H69" s="9"/>
      <c r="I69" s="9"/>
      <c r="J69" s="9"/>
    </row>
    <row r="70" spans="1:10" x14ac:dyDescent="0.35">
      <c r="A70" s="10" t="str">
        <f>IF(Registro_Contenedores!A70="","",Registro_Contenedores!A70)</f>
        <v/>
      </c>
      <c r="B70" s="10" t="str">
        <f>IF($A70="","",Registro_Contenedores!B70)</f>
        <v/>
      </c>
      <c r="C70" s="10" t="str">
        <f>IF($A70="","",Registro_Contenedores!E70)</f>
        <v/>
      </c>
      <c r="D70" s="10" t="str">
        <f>IF($A70="","",Registro_Contenedores!H70)</f>
        <v/>
      </c>
      <c r="E70" s="10" t="str">
        <f>IF($A70="","",Planif_Grupasa!G70)</f>
        <v/>
      </c>
      <c r="F70" s="10" t="str">
        <f>IF($A70="","",Planif_Grupasa!I70)</f>
        <v/>
      </c>
      <c r="G70" s="10" t="str">
        <f>IF($A70="","",Registro_Contenedores!K70)</f>
        <v/>
      </c>
      <c r="H70" s="9"/>
      <c r="I70" s="9"/>
      <c r="J70" s="9"/>
    </row>
    <row r="71" spans="1:10" x14ac:dyDescent="0.35">
      <c r="A71" s="10" t="str">
        <f>IF(Registro_Contenedores!A71="","",Registro_Contenedores!A71)</f>
        <v/>
      </c>
      <c r="B71" s="10" t="str">
        <f>IF($A71="","",Registro_Contenedores!B71)</f>
        <v/>
      </c>
      <c r="C71" s="10" t="str">
        <f>IF($A71="","",Registro_Contenedores!E71)</f>
        <v/>
      </c>
      <c r="D71" s="10" t="str">
        <f>IF($A71="","",Registro_Contenedores!H71)</f>
        <v/>
      </c>
      <c r="E71" s="10" t="str">
        <f>IF($A71="","",Planif_Grupasa!G71)</f>
        <v/>
      </c>
      <c r="F71" s="10" t="str">
        <f>IF($A71="","",Planif_Grupasa!I71)</f>
        <v/>
      </c>
      <c r="G71" s="10" t="str">
        <f>IF($A71="","",Registro_Contenedores!K71)</f>
        <v/>
      </c>
      <c r="H71" s="9"/>
      <c r="I71" s="9"/>
      <c r="J71" s="9"/>
    </row>
    <row r="72" spans="1:10" x14ac:dyDescent="0.35">
      <c r="A72" s="10" t="str">
        <f>IF(Registro_Contenedores!A72="","",Registro_Contenedores!A72)</f>
        <v/>
      </c>
      <c r="B72" s="10" t="str">
        <f>IF($A72="","",Registro_Contenedores!B72)</f>
        <v/>
      </c>
      <c r="C72" s="10" t="str">
        <f>IF($A72="","",Registro_Contenedores!E72)</f>
        <v/>
      </c>
      <c r="D72" s="10" t="str">
        <f>IF($A72="","",Registro_Contenedores!H72)</f>
        <v/>
      </c>
      <c r="E72" s="10" t="str">
        <f>IF($A72="","",Planif_Grupasa!G72)</f>
        <v/>
      </c>
      <c r="F72" s="10" t="str">
        <f>IF($A72="","",Planif_Grupasa!I72)</f>
        <v/>
      </c>
      <c r="G72" s="10" t="str">
        <f>IF($A72="","",Registro_Contenedores!K72)</f>
        <v/>
      </c>
      <c r="H72" s="9"/>
      <c r="I72" s="9"/>
      <c r="J72" s="9"/>
    </row>
    <row r="73" spans="1:10" x14ac:dyDescent="0.35">
      <c r="A73" s="10" t="str">
        <f>IF(Registro_Contenedores!A73="","",Registro_Contenedores!A73)</f>
        <v/>
      </c>
      <c r="B73" s="10" t="str">
        <f>IF($A73="","",Registro_Contenedores!B73)</f>
        <v/>
      </c>
      <c r="C73" s="10" t="str">
        <f>IF($A73="","",Registro_Contenedores!E73)</f>
        <v/>
      </c>
      <c r="D73" s="10" t="str">
        <f>IF($A73="","",Registro_Contenedores!H73)</f>
        <v/>
      </c>
      <c r="E73" s="10" t="str">
        <f>IF($A73="","",Planif_Grupasa!G73)</f>
        <v/>
      </c>
      <c r="F73" s="10" t="str">
        <f>IF($A73="","",Planif_Grupasa!I73)</f>
        <v/>
      </c>
      <c r="G73" s="10" t="str">
        <f>IF($A73="","",Registro_Contenedores!K73)</f>
        <v/>
      </c>
      <c r="H73" s="9"/>
      <c r="I73" s="9"/>
      <c r="J73" s="9"/>
    </row>
    <row r="74" spans="1:10" x14ac:dyDescent="0.35">
      <c r="A74" s="10" t="str">
        <f>IF(Registro_Contenedores!A74="","",Registro_Contenedores!A74)</f>
        <v/>
      </c>
      <c r="B74" s="10" t="str">
        <f>IF($A74="","",Registro_Contenedores!B74)</f>
        <v/>
      </c>
      <c r="C74" s="10" t="str">
        <f>IF($A74="","",Registro_Contenedores!E74)</f>
        <v/>
      </c>
      <c r="D74" s="10" t="str">
        <f>IF($A74="","",Registro_Contenedores!H74)</f>
        <v/>
      </c>
      <c r="E74" s="10" t="str">
        <f>IF($A74="","",Planif_Grupasa!G74)</f>
        <v/>
      </c>
      <c r="F74" s="10" t="str">
        <f>IF($A74="","",Planif_Grupasa!I74)</f>
        <v/>
      </c>
      <c r="G74" s="10" t="str">
        <f>IF($A74="","",Registro_Contenedores!K74)</f>
        <v/>
      </c>
      <c r="H74" s="9"/>
      <c r="I74" s="9"/>
      <c r="J74" s="9"/>
    </row>
    <row r="75" spans="1:10" x14ac:dyDescent="0.35">
      <c r="A75" s="10" t="str">
        <f>IF(Registro_Contenedores!A75="","",Registro_Contenedores!A75)</f>
        <v/>
      </c>
      <c r="B75" s="10" t="str">
        <f>IF($A75="","",Registro_Contenedores!B75)</f>
        <v/>
      </c>
      <c r="C75" s="10" t="str">
        <f>IF($A75="","",Registro_Contenedores!E75)</f>
        <v/>
      </c>
      <c r="D75" s="10" t="str">
        <f>IF($A75="","",Registro_Contenedores!H75)</f>
        <v/>
      </c>
      <c r="E75" s="10" t="str">
        <f>IF($A75="","",Planif_Grupasa!G75)</f>
        <v/>
      </c>
      <c r="F75" s="10" t="str">
        <f>IF($A75="","",Planif_Grupasa!I75)</f>
        <v/>
      </c>
      <c r="G75" s="10" t="str">
        <f>IF($A75="","",Registro_Contenedores!K75)</f>
        <v/>
      </c>
      <c r="H75" s="9"/>
      <c r="I75" s="9"/>
      <c r="J75" s="9"/>
    </row>
    <row r="76" spans="1:10" x14ac:dyDescent="0.35">
      <c r="A76" s="10" t="str">
        <f>IF(Registro_Contenedores!A76="","",Registro_Contenedores!A76)</f>
        <v/>
      </c>
      <c r="B76" s="10" t="str">
        <f>IF($A76="","",Registro_Contenedores!B76)</f>
        <v/>
      </c>
      <c r="C76" s="10" t="str">
        <f>IF($A76="","",Registro_Contenedores!E76)</f>
        <v/>
      </c>
      <c r="D76" s="10" t="str">
        <f>IF($A76="","",Registro_Contenedores!H76)</f>
        <v/>
      </c>
      <c r="E76" s="10" t="str">
        <f>IF($A76="","",Planif_Grupasa!G76)</f>
        <v/>
      </c>
      <c r="F76" s="10" t="str">
        <f>IF($A76="","",Planif_Grupasa!I76)</f>
        <v/>
      </c>
      <c r="G76" s="10" t="str">
        <f>IF($A76="","",Registro_Contenedores!K76)</f>
        <v/>
      </c>
      <c r="H76" s="9"/>
      <c r="I76" s="9"/>
      <c r="J76" s="9"/>
    </row>
    <row r="77" spans="1:10" x14ac:dyDescent="0.35">
      <c r="A77" s="10" t="str">
        <f>IF(Registro_Contenedores!A77="","",Registro_Contenedores!A77)</f>
        <v/>
      </c>
      <c r="B77" s="10" t="str">
        <f>IF($A77="","",Registro_Contenedores!B77)</f>
        <v/>
      </c>
      <c r="C77" s="10" t="str">
        <f>IF($A77="","",Registro_Contenedores!E77)</f>
        <v/>
      </c>
      <c r="D77" s="10" t="str">
        <f>IF($A77="","",Registro_Contenedores!H77)</f>
        <v/>
      </c>
      <c r="E77" s="10" t="str">
        <f>IF($A77="","",Planif_Grupasa!G77)</f>
        <v/>
      </c>
      <c r="F77" s="10" t="str">
        <f>IF($A77="","",Planif_Grupasa!I77)</f>
        <v/>
      </c>
      <c r="G77" s="10" t="str">
        <f>IF($A77="","",Registro_Contenedores!K77)</f>
        <v/>
      </c>
      <c r="H77" s="9"/>
      <c r="I77" s="9"/>
      <c r="J77" s="9"/>
    </row>
    <row r="78" spans="1:10" x14ac:dyDescent="0.35">
      <c r="A78" s="10" t="str">
        <f>IF(Registro_Contenedores!A78="","",Registro_Contenedores!A78)</f>
        <v/>
      </c>
      <c r="B78" s="10" t="str">
        <f>IF($A78="","",Registro_Contenedores!B78)</f>
        <v/>
      </c>
      <c r="C78" s="10" t="str">
        <f>IF($A78="","",Registro_Contenedores!E78)</f>
        <v/>
      </c>
      <c r="D78" s="10" t="str">
        <f>IF($A78="","",Registro_Contenedores!H78)</f>
        <v/>
      </c>
      <c r="E78" s="10" t="str">
        <f>IF($A78="","",Planif_Grupasa!G78)</f>
        <v/>
      </c>
      <c r="F78" s="10" t="str">
        <f>IF($A78="","",Planif_Grupasa!I78)</f>
        <v/>
      </c>
      <c r="G78" s="10" t="str">
        <f>IF($A78="","",Registro_Contenedores!K78)</f>
        <v/>
      </c>
      <c r="H78" s="9"/>
      <c r="I78" s="9"/>
      <c r="J78" s="9"/>
    </row>
    <row r="79" spans="1:10" x14ac:dyDescent="0.35">
      <c r="A79" s="10" t="str">
        <f>IF(Registro_Contenedores!A79="","",Registro_Contenedores!A79)</f>
        <v/>
      </c>
      <c r="B79" s="10" t="str">
        <f>IF($A79="","",Registro_Contenedores!B79)</f>
        <v/>
      </c>
      <c r="C79" s="10" t="str">
        <f>IF($A79="","",Registro_Contenedores!E79)</f>
        <v/>
      </c>
      <c r="D79" s="10" t="str">
        <f>IF($A79="","",Registro_Contenedores!H79)</f>
        <v/>
      </c>
      <c r="E79" s="10" t="str">
        <f>IF($A79="","",Planif_Grupasa!G79)</f>
        <v/>
      </c>
      <c r="F79" s="10" t="str">
        <f>IF($A79="","",Planif_Grupasa!I79)</f>
        <v/>
      </c>
      <c r="G79" s="10" t="str">
        <f>IF($A79="","",Registro_Contenedores!K79)</f>
        <v/>
      </c>
      <c r="H79" s="9"/>
      <c r="I79" s="9"/>
      <c r="J79" s="9"/>
    </row>
    <row r="80" spans="1:10" x14ac:dyDescent="0.35">
      <c r="A80" s="10" t="str">
        <f>IF(Registro_Contenedores!A80="","",Registro_Contenedores!A80)</f>
        <v/>
      </c>
      <c r="B80" s="10" t="str">
        <f>IF($A80="","",Registro_Contenedores!B80)</f>
        <v/>
      </c>
      <c r="C80" s="10" t="str">
        <f>IF($A80="","",Registro_Contenedores!E80)</f>
        <v/>
      </c>
      <c r="D80" s="10" t="str">
        <f>IF($A80="","",Registro_Contenedores!H80)</f>
        <v/>
      </c>
      <c r="E80" s="10" t="str">
        <f>IF($A80="","",Planif_Grupasa!G80)</f>
        <v/>
      </c>
      <c r="F80" s="10" t="str">
        <f>IF($A80="","",Planif_Grupasa!I80)</f>
        <v/>
      </c>
      <c r="G80" s="10" t="str">
        <f>IF($A80="","",Registro_Contenedores!K80)</f>
        <v/>
      </c>
      <c r="H80" s="9"/>
      <c r="I80" s="9"/>
      <c r="J80" s="9"/>
    </row>
    <row r="81" spans="1:10" x14ac:dyDescent="0.35">
      <c r="A81" s="10" t="str">
        <f>IF(Registro_Contenedores!A81="","",Registro_Contenedores!A81)</f>
        <v/>
      </c>
      <c r="B81" s="10" t="str">
        <f>IF($A81="","",Registro_Contenedores!B81)</f>
        <v/>
      </c>
      <c r="C81" s="10" t="str">
        <f>IF($A81="","",Registro_Contenedores!E81)</f>
        <v/>
      </c>
      <c r="D81" s="10" t="str">
        <f>IF($A81="","",Registro_Contenedores!H81)</f>
        <v/>
      </c>
      <c r="E81" s="10" t="str">
        <f>IF($A81="","",Planif_Grupasa!G81)</f>
        <v/>
      </c>
      <c r="F81" s="10" t="str">
        <f>IF($A81="","",Planif_Grupasa!I81)</f>
        <v/>
      </c>
      <c r="G81" s="10" t="str">
        <f>IF($A81="","",Registro_Contenedores!K81)</f>
        <v/>
      </c>
      <c r="H81" s="9"/>
      <c r="I81" s="9"/>
      <c r="J81" s="9"/>
    </row>
    <row r="82" spans="1:10" x14ac:dyDescent="0.35">
      <c r="A82" s="10" t="str">
        <f>IF(Registro_Contenedores!A82="","",Registro_Contenedores!A82)</f>
        <v/>
      </c>
      <c r="B82" s="10" t="str">
        <f>IF($A82="","",Registro_Contenedores!B82)</f>
        <v/>
      </c>
      <c r="C82" s="10" t="str">
        <f>IF($A82="","",Registro_Contenedores!E82)</f>
        <v/>
      </c>
      <c r="D82" s="10" t="str">
        <f>IF($A82="","",Registro_Contenedores!H82)</f>
        <v/>
      </c>
      <c r="E82" s="10" t="str">
        <f>IF($A82="","",Planif_Grupasa!G82)</f>
        <v/>
      </c>
      <c r="F82" s="10" t="str">
        <f>IF($A82="","",Planif_Grupasa!I82)</f>
        <v/>
      </c>
      <c r="G82" s="10" t="str">
        <f>IF($A82="","",Registro_Contenedores!K82)</f>
        <v/>
      </c>
      <c r="H82" s="9"/>
      <c r="I82" s="9"/>
      <c r="J82" s="9"/>
    </row>
    <row r="83" spans="1:10" x14ac:dyDescent="0.35">
      <c r="A83" s="10" t="str">
        <f>IF(Registro_Contenedores!A83="","",Registro_Contenedores!A83)</f>
        <v/>
      </c>
      <c r="B83" s="10" t="str">
        <f>IF($A83="","",Registro_Contenedores!B83)</f>
        <v/>
      </c>
      <c r="C83" s="10" t="str">
        <f>IF($A83="","",Registro_Contenedores!E83)</f>
        <v/>
      </c>
      <c r="D83" s="10" t="str">
        <f>IF($A83="","",Registro_Contenedores!H83)</f>
        <v/>
      </c>
      <c r="E83" s="10" t="str">
        <f>IF($A83="","",Planif_Grupasa!G83)</f>
        <v/>
      </c>
      <c r="F83" s="10" t="str">
        <f>IF($A83="","",Planif_Grupasa!I83)</f>
        <v/>
      </c>
      <c r="G83" s="10" t="str">
        <f>IF($A83="","",Registro_Contenedores!K83)</f>
        <v/>
      </c>
      <c r="H83" s="9"/>
      <c r="I83" s="9"/>
      <c r="J83" s="9"/>
    </row>
    <row r="84" spans="1:10" x14ac:dyDescent="0.35">
      <c r="A84" s="10" t="str">
        <f>IF(Registro_Contenedores!A84="","",Registro_Contenedores!A84)</f>
        <v/>
      </c>
      <c r="B84" s="10" t="str">
        <f>IF($A84="","",Registro_Contenedores!B84)</f>
        <v/>
      </c>
      <c r="C84" s="10" t="str">
        <f>IF($A84="","",Registro_Contenedores!E84)</f>
        <v/>
      </c>
      <c r="D84" s="10" t="str">
        <f>IF($A84="","",Registro_Contenedores!H84)</f>
        <v/>
      </c>
      <c r="E84" s="10" t="str">
        <f>IF($A84="","",Planif_Grupasa!G84)</f>
        <v/>
      </c>
      <c r="F84" s="10" t="str">
        <f>IF($A84="","",Planif_Grupasa!I84)</f>
        <v/>
      </c>
      <c r="G84" s="10" t="str">
        <f>IF($A84="","",Registro_Contenedores!K84)</f>
        <v/>
      </c>
      <c r="H84" s="9"/>
      <c r="I84" s="9"/>
      <c r="J84" s="9"/>
    </row>
    <row r="85" spans="1:10" x14ac:dyDescent="0.35">
      <c r="A85" s="10" t="str">
        <f>IF(Registro_Contenedores!A85="","",Registro_Contenedores!A85)</f>
        <v/>
      </c>
      <c r="B85" s="10" t="str">
        <f>IF($A85="","",Registro_Contenedores!B85)</f>
        <v/>
      </c>
      <c r="C85" s="10" t="str">
        <f>IF($A85="","",Registro_Contenedores!E85)</f>
        <v/>
      </c>
      <c r="D85" s="10" t="str">
        <f>IF($A85="","",Registro_Contenedores!H85)</f>
        <v/>
      </c>
      <c r="E85" s="10" t="str">
        <f>IF($A85="","",Planif_Grupasa!G85)</f>
        <v/>
      </c>
      <c r="F85" s="10" t="str">
        <f>IF($A85="","",Planif_Grupasa!I85)</f>
        <v/>
      </c>
      <c r="G85" s="10" t="str">
        <f>IF($A85="","",Registro_Contenedores!K85)</f>
        <v/>
      </c>
      <c r="H85" s="9"/>
      <c r="I85" s="9"/>
      <c r="J85" s="9"/>
    </row>
    <row r="86" spans="1:10" x14ac:dyDescent="0.35">
      <c r="A86" s="10" t="str">
        <f>IF(Registro_Contenedores!A86="","",Registro_Contenedores!A86)</f>
        <v/>
      </c>
      <c r="B86" s="10" t="str">
        <f>IF($A86="","",Registro_Contenedores!B86)</f>
        <v/>
      </c>
      <c r="C86" s="10" t="str">
        <f>IF($A86="","",Registro_Contenedores!E86)</f>
        <v/>
      </c>
      <c r="D86" s="10" t="str">
        <f>IF($A86="","",Registro_Contenedores!H86)</f>
        <v/>
      </c>
      <c r="E86" s="10" t="str">
        <f>IF($A86="","",Planif_Grupasa!G86)</f>
        <v/>
      </c>
      <c r="F86" s="10" t="str">
        <f>IF($A86="","",Planif_Grupasa!I86)</f>
        <v/>
      </c>
      <c r="G86" s="10" t="str">
        <f>IF($A86="","",Registro_Contenedores!K86)</f>
        <v/>
      </c>
      <c r="H86" s="9"/>
      <c r="I86" s="9"/>
      <c r="J86" s="9"/>
    </row>
    <row r="87" spans="1:10" x14ac:dyDescent="0.35">
      <c r="A87" s="10" t="str">
        <f>IF(Registro_Contenedores!A87="","",Registro_Contenedores!A87)</f>
        <v/>
      </c>
      <c r="B87" s="10" t="str">
        <f>IF($A87="","",Registro_Contenedores!B87)</f>
        <v/>
      </c>
      <c r="C87" s="10" t="str">
        <f>IF($A87="","",Registro_Contenedores!E87)</f>
        <v/>
      </c>
      <c r="D87" s="10" t="str">
        <f>IF($A87="","",Registro_Contenedores!H87)</f>
        <v/>
      </c>
      <c r="E87" s="10" t="str">
        <f>IF($A87="","",Planif_Grupasa!G87)</f>
        <v/>
      </c>
      <c r="F87" s="10" t="str">
        <f>IF($A87="","",Planif_Grupasa!I87)</f>
        <v/>
      </c>
      <c r="G87" s="10" t="str">
        <f>IF($A87="","",Registro_Contenedores!K87)</f>
        <v/>
      </c>
      <c r="H87" s="9"/>
      <c r="I87" s="9"/>
      <c r="J87" s="9"/>
    </row>
    <row r="88" spans="1:10" x14ac:dyDescent="0.35">
      <c r="A88" s="10" t="str">
        <f>IF(Registro_Contenedores!A88="","",Registro_Contenedores!A88)</f>
        <v/>
      </c>
      <c r="B88" s="10" t="str">
        <f>IF($A88="","",Registro_Contenedores!B88)</f>
        <v/>
      </c>
      <c r="C88" s="10" t="str">
        <f>IF($A88="","",Registro_Contenedores!E88)</f>
        <v/>
      </c>
      <c r="D88" s="10" t="str">
        <f>IF($A88="","",Registro_Contenedores!H88)</f>
        <v/>
      </c>
      <c r="E88" s="10" t="str">
        <f>IF($A88="","",Planif_Grupasa!G88)</f>
        <v/>
      </c>
      <c r="F88" s="10" t="str">
        <f>IF($A88="","",Planif_Grupasa!I88)</f>
        <v/>
      </c>
      <c r="G88" s="10" t="str">
        <f>IF($A88="","",Registro_Contenedores!K88)</f>
        <v/>
      </c>
      <c r="H88" s="9"/>
      <c r="I88" s="9"/>
      <c r="J88" s="9"/>
    </row>
    <row r="89" spans="1:10" x14ac:dyDescent="0.35">
      <c r="A89" s="10" t="str">
        <f>IF(Registro_Contenedores!A89="","",Registro_Contenedores!A89)</f>
        <v/>
      </c>
      <c r="B89" s="10" t="str">
        <f>IF($A89="","",Registro_Contenedores!B89)</f>
        <v/>
      </c>
      <c r="C89" s="10" t="str">
        <f>IF($A89="","",Registro_Contenedores!E89)</f>
        <v/>
      </c>
      <c r="D89" s="10" t="str">
        <f>IF($A89="","",Registro_Contenedores!H89)</f>
        <v/>
      </c>
      <c r="E89" s="10" t="str">
        <f>IF($A89="","",Planif_Grupasa!G89)</f>
        <v/>
      </c>
      <c r="F89" s="10" t="str">
        <f>IF($A89="","",Planif_Grupasa!I89)</f>
        <v/>
      </c>
      <c r="G89" s="10" t="str">
        <f>IF($A89="","",Registro_Contenedores!K89)</f>
        <v/>
      </c>
      <c r="H89" s="9"/>
      <c r="I89" s="9"/>
      <c r="J89" s="9"/>
    </row>
    <row r="90" spans="1:10" x14ac:dyDescent="0.35">
      <c r="A90" s="10" t="str">
        <f>IF(Registro_Contenedores!A90="","",Registro_Contenedores!A90)</f>
        <v/>
      </c>
      <c r="B90" s="10" t="str">
        <f>IF($A90="","",Registro_Contenedores!B90)</f>
        <v/>
      </c>
      <c r="C90" s="10" t="str">
        <f>IF($A90="","",Registro_Contenedores!E90)</f>
        <v/>
      </c>
      <c r="D90" s="10" t="str">
        <f>IF($A90="","",Registro_Contenedores!H90)</f>
        <v/>
      </c>
      <c r="E90" s="10" t="str">
        <f>IF($A90="","",Planif_Grupasa!G90)</f>
        <v/>
      </c>
      <c r="F90" s="10" t="str">
        <f>IF($A90="","",Planif_Grupasa!I90)</f>
        <v/>
      </c>
      <c r="G90" s="10" t="str">
        <f>IF($A90="","",Registro_Contenedores!K90)</f>
        <v/>
      </c>
      <c r="H90" s="9"/>
      <c r="I90" s="9"/>
      <c r="J90" s="9"/>
    </row>
    <row r="91" spans="1:10" x14ac:dyDescent="0.35">
      <c r="A91" s="10" t="str">
        <f>IF(Registro_Contenedores!A91="","",Registro_Contenedores!A91)</f>
        <v/>
      </c>
      <c r="B91" s="10" t="str">
        <f>IF($A91="","",Registro_Contenedores!B91)</f>
        <v/>
      </c>
      <c r="C91" s="10" t="str">
        <f>IF($A91="","",Registro_Contenedores!E91)</f>
        <v/>
      </c>
      <c r="D91" s="10" t="str">
        <f>IF($A91="","",Registro_Contenedores!H91)</f>
        <v/>
      </c>
      <c r="E91" s="10" t="str">
        <f>IF($A91="","",Planif_Grupasa!G91)</f>
        <v/>
      </c>
      <c r="F91" s="10" t="str">
        <f>IF($A91="","",Planif_Grupasa!I91)</f>
        <v/>
      </c>
      <c r="G91" s="10" t="str">
        <f>IF($A91="","",Registro_Contenedores!K91)</f>
        <v/>
      </c>
      <c r="H91" s="9"/>
      <c r="I91" s="9"/>
      <c r="J91" s="9"/>
    </row>
    <row r="92" spans="1:10" x14ac:dyDescent="0.35">
      <c r="A92" s="10" t="str">
        <f>IF(Registro_Contenedores!A92="","",Registro_Contenedores!A92)</f>
        <v/>
      </c>
      <c r="B92" s="10" t="str">
        <f>IF($A92="","",Registro_Contenedores!B92)</f>
        <v/>
      </c>
      <c r="C92" s="10" t="str">
        <f>IF($A92="","",Registro_Contenedores!E92)</f>
        <v/>
      </c>
      <c r="D92" s="10" t="str">
        <f>IF($A92="","",Registro_Contenedores!H92)</f>
        <v/>
      </c>
      <c r="E92" s="10" t="str">
        <f>IF($A92="","",Planif_Grupasa!G92)</f>
        <v/>
      </c>
      <c r="F92" s="10" t="str">
        <f>IF($A92="","",Planif_Grupasa!I92)</f>
        <v/>
      </c>
      <c r="G92" s="10" t="str">
        <f>IF($A92="","",Registro_Contenedores!K92)</f>
        <v/>
      </c>
      <c r="H92" s="9"/>
      <c r="I92" s="9"/>
      <c r="J92" s="9"/>
    </row>
    <row r="93" spans="1:10" x14ac:dyDescent="0.35">
      <c r="A93" s="10" t="str">
        <f>IF(Registro_Contenedores!A93="","",Registro_Contenedores!A93)</f>
        <v/>
      </c>
      <c r="B93" s="10" t="str">
        <f>IF($A93="","",Registro_Contenedores!B93)</f>
        <v/>
      </c>
      <c r="C93" s="10" t="str">
        <f>IF($A93="","",Registro_Contenedores!E93)</f>
        <v/>
      </c>
      <c r="D93" s="10" t="str">
        <f>IF($A93="","",Registro_Contenedores!H93)</f>
        <v/>
      </c>
      <c r="E93" s="10" t="str">
        <f>IF($A93="","",Planif_Grupasa!G93)</f>
        <v/>
      </c>
      <c r="F93" s="10" t="str">
        <f>IF($A93="","",Planif_Grupasa!I93)</f>
        <v/>
      </c>
      <c r="G93" s="10" t="str">
        <f>IF($A93="","",Registro_Contenedores!K93)</f>
        <v/>
      </c>
      <c r="H93" s="9"/>
      <c r="I93" s="9"/>
      <c r="J93" s="9"/>
    </row>
    <row r="94" spans="1:10" x14ac:dyDescent="0.35">
      <c r="A94" s="10" t="str">
        <f>IF(Registro_Contenedores!A94="","",Registro_Contenedores!A94)</f>
        <v/>
      </c>
      <c r="B94" s="10" t="str">
        <f>IF($A94="","",Registro_Contenedores!B94)</f>
        <v/>
      </c>
      <c r="C94" s="10" t="str">
        <f>IF($A94="","",Registro_Contenedores!E94)</f>
        <v/>
      </c>
      <c r="D94" s="10" t="str">
        <f>IF($A94="","",Registro_Contenedores!H94)</f>
        <v/>
      </c>
      <c r="E94" s="10" t="str">
        <f>IF($A94="","",Planif_Grupasa!G94)</f>
        <v/>
      </c>
      <c r="F94" s="10" t="str">
        <f>IF($A94="","",Planif_Grupasa!I94)</f>
        <v/>
      </c>
      <c r="G94" s="10" t="str">
        <f>IF($A94="","",Registro_Contenedores!K94)</f>
        <v/>
      </c>
      <c r="H94" s="9"/>
      <c r="I94" s="9"/>
      <c r="J94" s="9"/>
    </row>
    <row r="95" spans="1:10" x14ac:dyDescent="0.35">
      <c r="A95" s="10" t="str">
        <f>IF(Registro_Contenedores!A95="","",Registro_Contenedores!A95)</f>
        <v/>
      </c>
      <c r="B95" s="10" t="str">
        <f>IF($A95="","",Registro_Contenedores!B95)</f>
        <v/>
      </c>
      <c r="C95" s="10" t="str">
        <f>IF($A95="","",Registro_Contenedores!E95)</f>
        <v/>
      </c>
      <c r="D95" s="10" t="str">
        <f>IF($A95="","",Registro_Contenedores!H95)</f>
        <v/>
      </c>
      <c r="E95" s="10" t="str">
        <f>IF($A95="","",Planif_Grupasa!G95)</f>
        <v/>
      </c>
      <c r="F95" s="10" t="str">
        <f>IF($A95="","",Planif_Grupasa!I95)</f>
        <v/>
      </c>
      <c r="G95" s="10" t="str">
        <f>IF($A95="","",Registro_Contenedores!K95)</f>
        <v/>
      </c>
      <c r="H95" s="9"/>
      <c r="I95" s="9"/>
      <c r="J95" s="9"/>
    </row>
    <row r="96" spans="1:10" x14ac:dyDescent="0.35">
      <c r="A96" s="10" t="str">
        <f>IF(Registro_Contenedores!A96="","",Registro_Contenedores!A96)</f>
        <v/>
      </c>
      <c r="B96" s="10" t="str">
        <f>IF($A96="","",Registro_Contenedores!B96)</f>
        <v/>
      </c>
      <c r="C96" s="10" t="str">
        <f>IF($A96="","",Registro_Contenedores!E96)</f>
        <v/>
      </c>
      <c r="D96" s="10" t="str">
        <f>IF($A96="","",Registro_Contenedores!H96)</f>
        <v/>
      </c>
      <c r="E96" s="10" t="str">
        <f>IF($A96="","",Planif_Grupasa!G96)</f>
        <v/>
      </c>
      <c r="F96" s="10" t="str">
        <f>IF($A96="","",Planif_Grupasa!I96)</f>
        <v/>
      </c>
      <c r="G96" s="10" t="str">
        <f>IF($A96="","",Registro_Contenedores!K96)</f>
        <v/>
      </c>
      <c r="H96" s="9"/>
      <c r="I96" s="9"/>
      <c r="J96" s="9"/>
    </row>
    <row r="97" spans="1:10" x14ac:dyDescent="0.35">
      <c r="A97" s="10" t="str">
        <f>IF(Registro_Contenedores!A97="","",Registro_Contenedores!A97)</f>
        <v/>
      </c>
      <c r="B97" s="10" t="str">
        <f>IF($A97="","",Registro_Contenedores!B97)</f>
        <v/>
      </c>
      <c r="C97" s="10" t="str">
        <f>IF($A97="","",Registro_Contenedores!E97)</f>
        <v/>
      </c>
      <c r="D97" s="10" t="str">
        <f>IF($A97="","",Registro_Contenedores!H97)</f>
        <v/>
      </c>
      <c r="E97" s="10" t="str">
        <f>IF($A97="","",Planif_Grupasa!G97)</f>
        <v/>
      </c>
      <c r="F97" s="10" t="str">
        <f>IF($A97="","",Planif_Grupasa!I97)</f>
        <v/>
      </c>
      <c r="G97" s="10" t="str">
        <f>IF($A97="","",Registro_Contenedores!K97)</f>
        <v/>
      </c>
      <c r="H97" s="9"/>
      <c r="I97" s="9"/>
      <c r="J97" s="9"/>
    </row>
    <row r="98" spans="1:10" x14ac:dyDescent="0.35">
      <c r="A98" s="10" t="str">
        <f>IF(Registro_Contenedores!A98="","",Registro_Contenedores!A98)</f>
        <v/>
      </c>
      <c r="B98" s="10" t="str">
        <f>IF($A98="","",Registro_Contenedores!B98)</f>
        <v/>
      </c>
      <c r="C98" s="10" t="str">
        <f>IF($A98="","",Registro_Contenedores!E98)</f>
        <v/>
      </c>
      <c r="D98" s="10" t="str">
        <f>IF($A98="","",Registro_Contenedores!H98)</f>
        <v/>
      </c>
      <c r="E98" s="10" t="str">
        <f>IF($A98="","",Planif_Grupasa!G98)</f>
        <v/>
      </c>
      <c r="F98" s="10" t="str">
        <f>IF($A98="","",Planif_Grupasa!I98)</f>
        <v/>
      </c>
      <c r="G98" s="10" t="str">
        <f>IF($A98="","",Registro_Contenedores!K98)</f>
        <v/>
      </c>
      <c r="H98" s="9"/>
      <c r="I98" s="9"/>
      <c r="J98" s="9"/>
    </row>
    <row r="99" spans="1:10" x14ac:dyDescent="0.35">
      <c r="A99" s="10" t="str">
        <f>IF(Registro_Contenedores!A99="","",Registro_Contenedores!A99)</f>
        <v/>
      </c>
      <c r="B99" s="10" t="str">
        <f>IF($A99="","",Registro_Contenedores!B99)</f>
        <v/>
      </c>
      <c r="C99" s="10" t="str">
        <f>IF($A99="","",Registro_Contenedores!E99)</f>
        <v/>
      </c>
      <c r="D99" s="10" t="str">
        <f>IF($A99="","",Registro_Contenedores!H99)</f>
        <v/>
      </c>
      <c r="E99" s="10" t="str">
        <f>IF($A99="","",Planif_Grupasa!G99)</f>
        <v/>
      </c>
      <c r="F99" s="10" t="str">
        <f>IF($A99="","",Planif_Grupasa!I99)</f>
        <v/>
      </c>
      <c r="G99" s="10" t="str">
        <f>IF($A99="","",Registro_Contenedores!K99)</f>
        <v/>
      </c>
      <c r="H99" s="9"/>
      <c r="I99" s="9"/>
      <c r="J99" s="9"/>
    </row>
    <row r="100" spans="1:10" x14ac:dyDescent="0.35">
      <c r="A100" s="10" t="str">
        <f>IF(Registro_Contenedores!A100="","",Registro_Contenedores!A100)</f>
        <v/>
      </c>
      <c r="B100" s="10" t="str">
        <f>IF($A100="","",Registro_Contenedores!B100)</f>
        <v/>
      </c>
      <c r="C100" s="10" t="str">
        <f>IF($A100="","",Registro_Contenedores!E100)</f>
        <v/>
      </c>
      <c r="D100" s="10" t="str">
        <f>IF($A100="","",Registro_Contenedores!H100)</f>
        <v/>
      </c>
      <c r="E100" s="10" t="str">
        <f>IF($A100="","",Planif_Grupasa!G100)</f>
        <v/>
      </c>
      <c r="F100" s="10" t="str">
        <f>IF($A100="","",Planif_Grupasa!I100)</f>
        <v/>
      </c>
      <c r="G100" s="10" t="str">
        <f>IF($A100="","",Registro_Contenedores!K100)</f>
        <v/>
      </c>
      <c r="H100" s="9"/>
      <c r="I100" s="9"/>
      <c r="J100" s="9"/>
    </row>
    <row r="101" spans="1:10" x14ac:dyDescent="0.35">
      <c r="A101" s="10" t="str">
        <f>IF(Registro_Contenedores!A101="","",Registro_Contenedores!A101)</f>
        <v/>
      </c>
      <c r="B101" s="10" t="str">
        <f>IF($A101="","",Registro_Contenedores!B101)</f>
        <v/>
      </c>
      <c r="C101" s="10" t="str">
        <f>IF($A101="","",Registro_Contenedores!E101)</f>
        <v/>
      </c>
      <c r="D101" s="10" t="str">
        <f>IF($A101="","",Registro_Contenedores!H101)</f>
        <v/>
      </c>
      <c r="E101" s="10" t="str">
        <f>IF($A101="","",Planif_Grupasa!G101)</f>
        <v/>
      </c>
      <c r="F101" s="10" t="str">
        <f>IF($A101="","",Planif_Grupasa!I101)</f>
        <v/>
      </c>
      <c r="G101" s="10" t="str">
        <f>IF($A101="","",Registro_Contenedores!K101)</f>
        <v/>
      </c>
      <c r="H101" s="9"/>
      <c r="I101" s="9"/>
      <c r="J101" s="9"/>
    </row>
    <row r="102" spans="1:10" x14ac:dyDescent="0.35">
      <c r="A102" s="10" t="str">
        <f>IF(Registro_Contenedores!A102="","",Registro_Contenedores!A102)</f>
        <v/>
      </c>
      <c r="B102" s="10" t="str">
        <f>IF($A102="","",Registro_Contenedores!B102)</f>
        <v/>
      </c>
      <c r="C102" s="10" t="str">
        <f>IF($A102="","",Registro_Contenedores!E102)</f>
        <v/>
      </c>
      <c r="D102" s="10" t="str">
        <f>IF($A102="","",Registro_Contenedores!H102)</f>
        <v/>
      </c>
      <c r="E102" s="10" t="str">
        <f>IF($A102="","",Planif_Grupasa!G102)</f>
        <v/>
      </c>
      <c r="F102" s="10" t="str">
        <f>IF($A102="","",Planif_Grupasa!I102)</f>
        <v/>
      </c>
      <c r="G102" s="10" t="str">
        <f>IF($A102="","",Registro_Contenedores!K102)</f>
        <v/>
      </c>
      <c r="H102" s="9"/>
      <c r="I102" s="9"/>
      <c r="J102" s="9"/>
    </row>
    <row r="103" spans="1:10" x14ac:dyDescent="0.35">
      <c r="A103" s="10" t="str">
        <f>IF(Registro_Contenedores!A103="","",Registro_Contenedores!A103)</f>
        <v/>
      </c>
      <c r="B103" s="10" t="str">
        <f>IF($A103="","",Registro_Contenedores!B103)</f>
        <v/>
      </c>
      <c r="C103" s="10" t="str">
        <f>IF($A103="","",Registro_Contenedores!E103)</f>
        <v/>
      </c>
      <c r="D103" s="10" t="str">
        <f>IF($A103="","",Registro_Contenedores!H103)</f>
        <v/>
      </c>
      <c r="E103" s="10" t="str">
        <f>IF($A103="","",Planif_Grupasa!G103)</f>
        <v/>
      </c>
      <c r="F103" s="10" t="str">
        <f>IF($A103="","",Planif_Grupasa!I103)</f>
        <v/>
      </c>
      <c r="G103" s="10" t="str">
        <f>IF($A103="","",Registro_Contenedores!K103)</f>
        <v/>
      </c>
      <c r="H103" s="9"/>
      <c r="I103" s="9"/>
      <c r="J103" s="9"/>
    </row>
    <row r="104" spans="1:10" x14ac:dyDescent="0.35">
      <c r="A104" s="10" t="str">
        <f>IF(Registro_Contenedores!A104="","",Registro_Contenedores!A104)</f>
        <v/>
      </c>
      <c r="B104" s="10" t="str">
        <f>IF($A104="","",Registro_Contenedores!B104)</f>
        <v/>
      </c>
      <c r="C104" s="10" t="str">
        <f>IF($A104="","",Registro_Contenedores!E104)</f>
        <v/>
      </c>
      <c r="D104" s="10" t="str">
        <f>IF($A104="","",Registro_Contenedores!H104)</f>
        <v/>
      </c>
      <c r="E104" s="10" t="str">
        <f>IF($A104="","",Planif_Grupasa!G104)</f>
        <v/>
      </c>
      <c r="F104" s="10" t="str">
        <f>IF($A104="","",Planif_Grupasa!I104)</f>
        <v/>
      </c>
      <c r="G104" s="10" t="str">
        <f>IF($A104="","",Registro_Contenedores!K104)</f>
        <v/>
      </c>
      <c r="H104" s="9"/>
      <c r="I104" s="9"/>
      <c r="J104" s="9"/>
    </row>
    <row r="105" spans="1:10" x14ac:dyDescent="0.35">
      <c r="A105" s="10" t="str">
        <f>IF(Registro_Contenedores!A105="","",Registro_Contenedores!A105)</f>
        <v/>
      </c>
      <c r="B105" s="10" t="str">
        <f>IF($A105="","",Registro_Contenedores!B105)</f>
        <v/>
      </c>
      <c r="C105" s="10" t="str">
        <f>IF($A105="","",Registro_Contenedores!E105)</f>
        <v/>
      </c>
      <c r="D105" s="10" t="str">
        <f>IF($A105="","",Registro_Contenedores!H105)</f>
        <v/>
      </c>
      <c r="E105" s="10" t="str">
        <f>IF($A105="","",Planif_Grupasa!G105)</f>
        <v/>
      </c>
      <c r="F105" s="10" t="str">
        <f>IF($A105="","",Planif_Grupasa!I105)</f>
        <v/>
      </c>
      <c r="G105" s="10" t="str">
        <f>IF($A105="","",Registro_Contenedores!K105)</f>
        <v/>
      </c>
      <c r="H105" s="9"/>
      <c r="I105" s="9"/>
      <c r="J105" s="9"/>
    </row>
    <row r="106" spans="1:10" x14ac:dyDescent="0.35">
      <c r="A106" s="10" t="str">
        <f>IF(Registro_Contenedores!A106="","",Registro_Contenedores!A106)</f>
        <v/>
      </c>
      <c r="B106" s="10" t="str">
        <f>IF($A106="","",Registro_Contenedores!B106)</f>
        <v/>
      </c>
      <c r="C106" s="10" t="str">
        <f>IF($A106="","",Registro_Contenedores!E106)</f>
        <v/>
      </c>
      <c r="D106" s="10" t="str">
        <f>IF($A106="","",Registro_Contenedores!H106)</f>
        <v/>
      </c>
      <c r="E106" s="10" t="str">
        <f>IF($A106="","",Planif_Grupasa!G106)</f>
        <v/>
      </c>
      <c r="F106" s="10" t="str">
        <f>IF($A106="","",Planif_Grupasa!I106)</f>
        <v/>
      </c>
      <c r="G106" s="10" t="str">
        <f>IF($A106="","",Registro_Contenedores!K106)</f>
        <v/>
      </c>
      <c r="H106" s="9"/>
      <c r="I106" s="9"/>
      <c r="J106" s="9"/>
    </row>
    <row r="107" spans="1:10" x14ac:dyDescent="0.35">
      <c r="A107" s="10" t="str">
        <f>IF(Registro_Contenedores!A107="","",Registro_Contenedores!A107)</f>
        <v/>
      </c>
      <c r="B107" s="10" t="str">
        <f>IF($A107="","",Registro_Contenedores!B107)</f>
        <v/>
      </c>
      <c r="C107" s="10" t="str">
        <f>IF($A107="","",Registro_Contenedores!E107)</f>
        <v/>
      </c>
      <c r="D107" s="10" t="str">
        <f>IF($A107="","",Registro_Contenedores!H107)</f>
        <v/>
      </c>
      <c r="E107" s="10" t="str">
        <f>IF($A107="","",Planif_Grupasa!G107)</f>
        <v/>
      </c>
      <c r="F107" s="10" t="str">
        <f>IF($A107="","",Planif_Grupasa!I107)</f>
        <v/>
      </c>
      <c r="G107" s="10" t="str">
        <f>IF($A107="","",Registro_Contenedores!K107)</f>
        <v/>
      </c>
      <c r="H107" s="9"/>
      <c r="I107" s="9"/>
      <c r="J107" s="9"/>
    </row>
    <row r="108" spans="1:10" x14ac:dyDescent="0.35">
      <c r="A108" s="10" t="str">
        <f>IF(Registro_Contenedores!A108="","",Registro_Contenedores!A108)</f>
        <v/>
      </c>
      <c r="B108" s="10" t="str">
        <f>IF($A108="","",Registro_Contenedores!B108)</f>
        <v/>
      </c>
      <c r="C108" s="10" t="str">
        <f>IF($A108="","",Registro_Contenedores!E108)</f>
        <v/>
      </c>
      <c r="D108" s="10" t="str">
        <f>IF($A108="","",Registro_Contenedores!H108)</f>
        <v/>
      </c>
      <c r="E108" s="10" t="str">
        <f>IF($A108="","",Planif_Grupasa!G108)</f>
        <v/>
      </c>
      <c r="F108" s="10" t="str">
        <f>IF($A108="","",Planif_Grupasa!I108)</f>
        <v/>
      </c>
      <c r="G108" s="10" t="str">
        <f>IF($A108="","",Registro_Contenedores!K108)</f>
        <v/>
      </c>
      <c r="H108" s="9"/>
      <c r="I108" s="9"/>
      <c r="J108" s="9"/>
    </row>
    <row r="109" spans="1:10" x14ac:dyDescent="0.35">
      <c r="A109" s="10" t="str">
        <f>IF(Registro_Contenedores!A109="","",Registro_Contenedores!A109)</f>
        <v/>
      </c>
      <c r="B109" s="10" t="str">
        <f>IF($A109="","",Registro_Contenedores!B109)</f>
        <v/>
      </c>
      <c r="C109" s="10" t="str">
        <f>IF($A109="","",Registro_Contenedores!E109)</f>
        <v/>
      </c>
      <c r="D109" s="10" t="str">
        <f>IF($A109="","",Registro_Contenedores!H109)</f>
        <v/>
      </c>
      <c r="E109" s="10" t="str">
        <f>IF($A109="","",Planif_Grupasa!G109)</f>
        <v/>
      </c>
      <c r="F109" s="10" t="str">
        <f>IF($A109="","",Planif_Grupasa!I109)</f>
        <v/>
      </c>
      <c r="G109" s="10" t="str">
        <f>IF($A109="","",Registro_Contenedores!K109)</f>
        <v/>
      </c>
      <c r="H109" s="9"/>
      <c r="I109" s="9"/>
      <c r="J109" s="9"/>
    </row>
    <row r="110" spans="1:10" x14ac:dyDescent="0.35">
      <c r="A110" s="10" t="str">
        <f>IF(Registro_Contenedores!A110="","",Registro_Contenedores!A110)</f>
        <v/>
      </c>
      <c r="B110" s="10" t="str">
        <f>IF($A110="","",Registro_Contenedores!B110)</f>
        <v/>
      </c>
      <c r="C110" s="10" t="str">
        <f>IF($A110="","",Registro_Contenedores!E110)</f>
        <v/>
      </c>
      <c r="D110" s="10" t="str">
        <f>IF($A110="","",Registro_Contenedores!H110)</f>
        <v/>
      </c>
      <c r="E110" s="10" t="str">
        <f>IF($A110="","",Planif_Grupasa!G110)</f>
        <v/>
      </c>
      <c r="F110" s="10" t="str">
        <f>IF($A110="","",Planif_Grupasa!I110)</f>
        <v/>
      </c>
      <c r="G110" s="10" t="str">
        <f>IF($A110="","",Registro_Contenedores!K110)</f>
        <v/>
      </c>
      <c r="H110" s="9"/>
      <c r="I110" s="9"/>
      <c r="J110" s="9"/>
    </row>
    <row r="111" spans="1:10" x14ac:dyDescent="0.35">
      <c r="A111" s="10" t="str">
        <f>IF(Registro_Contenedores!A111="","",Registro_Contenedores!A111)</f>
        <v/>
      </c>
      <c r="B111" s="10" t="str">
        <f>IF($A111="","",Registro_Contenedores!B111)</f>
        <v/>
      </c>
      <c r="C111" s="10" t="str">
        <f>IF($A111="","",Registro_Contenedores!E111)</f>
        <v/>
      </c>
      <c r="D111" s="10" t="str">
        <f>IF($A111="","",Registro_Contenedores!H111)</f>
        <v/>
      </c>
      <c r="E111" s="10" t="str">
        <f>IF($A111="","",Planif_Grupasa!G111)</f>
        <v/>
      </c>
      <c r="F111" s="10" t="str">
        <f>IF($A111="","",Planif_Grupasa!I111)</f>
        <v/>
      </c>
      <c r="G111" s="10" t="str">
        <f>IF($A111="","",Registro_Contenedores!K111)</f>
        <v/>
      </c>
      <c r="H111" s="9"/>
      <c r="I111" s="9"/>
      <c r="J111" s="9"/>
    </row>
    <row r="112" spans="1:10" x14ac:dyDescent="0.35">
      <c r="A112" s="10" t="str">
        <f>IF(Registro_Contenedores!A112="","",Registro_Contenedores!A112)</f>
        <v/>
      </c>
      <c r="B112" s="10" t="str">
        <f>IF($A112="","",Registro_Contenedores!B112)</f>
        <v/>
      </c>
      <c r="C112" s="10" t="str">
        <f>IF($A112="","",Registro_Contenedores!E112)</f>
        <v/>
      </c>
      <c r="D112" s="10" t="str">
        <f>IF($A112="","",Registro_Contenedores!H112)</f>
        <v/>
      </c>
      <c r="E112" s="10" t="str">
        <f>IF($A112="","",Planif_Grupasa!G112)</f>
        <v/>
      </c>
      <c r="F112" s="10" t="str">
        <f>IF($A112="","",Planif_Grupasa!I112)</f>
        <v/>
      </c>
      <c r="G112" s="10" t="str">
        <f>IF($A112="","",Registro_Contenedores!K112)</f>
        <v/>
      </c>
      <c r="H112" s="9"/>
      <c r="I112" s="9"/>
      <c r="J112" s="9"/>
    </row>
    <row r="113" spans="1:10" x14ac:dyDescent="0.35">
      <c r="A113" s="10" t="str">
        <f>IF(Registro_Contenedores!A113="","",Registro_Contenedores!A113)</f>
        <v/>
      </c>
      <c r="B113" s="10" t="str">
        <f>IF($A113="","",Registro_Contenedores!B113)</f>
        <v/>
      </c>
      <c r="C113" s="10" t="str">
        <f>IF($A113="","",Registro_Contenedores!E113)</f>
        <v/>
      </c>
      <c r="D113" s="10" t="str">
        <f>IF($A113="","",Registro_Contenedores!H113)</f>
        <v/>
      </c>
      <c r="E113" s="10" t="str">
        <f>IF($A113="","",Planif_Grupasa!G113)</f>
        <v/>
      </c>
      <c r="F113" s="10" t="str">
        <f>IF($A113="","",Planif_Grupasa!I113)</f>
        <v/>
      </c>
      <c r="G113" s="10" t="str">
        <f>IF($A113="","",Registro_Contenedores!K113)</f>
        <v/>
      </c>
      <c r="H113" s="9"/>
      <c r="I113" s="9"/>
      <c r="J113" s="9"/>
    </row>
    <row r="114" spans="1:10" x14ac:dyDescent="0.35">
      <c r="A114" s="10" t="str">
        <f>IF(Registro_Contenedores!A114="","",Registro_Contenedores!A114)</f>
        <v/>
      </c>
      <c r="B114" s="10" t="str">
        <f>IF($A114="","",Registro_Contenedores!B114)</f>
        <v/>
      </c>
      <c r="C114" s="10" t="str">
        <f>IF($A114="","",Registro_Contenedores!E114)</f>
        <v/>
      </c>
      <c r="D114" s="10" t="str">
        <f>IF($A114="","",Registro_Contenedores!H114)</f>
        <v/>
      </c>
      <c r="E114" s="10" t="str">
        <f>IF($A114="","",Planif_Grupasa!G114)</f>
        <v/>
      </c>
      <c r="F114" s="10" t="str">
        <f>IF($A114="","",Planif_Grupasa!I114)</f>
        <v/>
      </c>
      <c r="G114" s="10" t="str">
        <f>IF($A114="","",Registro_Contenedores!K114)</f>
        <v/>
      </c>
      <c r="H114" s="9"/>
      <c r="I114" s="9"/>
      <c r="J114" s="9"/>
    </row>
    <row r="115" spans="1:10" x14ac:dyDescent="0.35">
      <c r="A115" s="10" t="str">
        <f>IF(Registro_Contenedores!A115="","",Registro_Contenedores!A115)</f>
        <v/>
      </c>
      <c r="B115" s="10" t="str">
        <f>IF($A115="","",Registro_Contenedores!B115)</f>
        <v/>
      </c>
      <c r="C115" s="10" t="str">
        <f>IF($A115="","",Registro_Contenedores!E115)</f>
        <v/>
      </c>
      <c r="D115" s="10" t="str">
        <f>IF($A115="","",Registro_Contenedores!H115)</f>
        <v/>
      </c>
      <c r="E115" s="10" t="str">
        <f>IF($A115="","",Planif_Grupasa!G115)</f>
        <v/>
      </c>
      <c r="F115" s="10" t="str">
        <f>IF($A115="","",Planif_Grupasa!I115)</f>
        <v/>
      </c>
      <c r="G115" s="10" t="str">
        <f>IF($A115="","",Registro_Contenedores!K115)</f>
        <v/>
      </c>
      <c r="H115" s="9"/>
      <c r="I115" s="9"/>
      <c r="J115" s="9"/>
    </row>
    <row r="116" spans="1:10" x14ac:dyDescent="0.35">
      <c r="A116" s="10" t="str">
        <f>IF(Registro_Contenedores!A116="","",Registro_Contenedores!A116)</f>
        <v/>
      </c>
      <c r="B116" s="10" t="str">
        <f>IF($A116="","",Registro_Contenedores!B116)</f>
        <v/>
      </c>
      <c r="C116" s="10" t="str">
        <f>IF($A116="","",Registro_Contenedores!E116)</f>
        <v/>
      </c>
      <c r="D116" s="10" t="str">
        <f>IF($A116="","",Registro_Contenedores!H116)</f>
        <v/>
      </c>
      <c r="E116" s="10" t="str">
        <f>IF($A116="","",Planif_Grupasa!G116)</f>
        <v/>
      </c>
      <c r="F116" s="10" t="str">
        <f>IF($A116="","",Planif_Grupasa!I116)</f>
        <v/>
      </c>
      <c r="G116" s="10" t="str">
        <f>IF($A116="","",Registro_Contenedores!K116)</f>
        <v/>
      </c>
      <c r="H116" s="9"/>
      <c r="I116" s="9"/>
      <c r="J116" s="9"/>
    </row>
    <row r="117" spans="1:10" x14ac:dyDescent="0.35">
      <c r="A117" s="10" t="str">
        <f>IF(Registro_Contenedores!A117="","",Registro_Contenedores!A117)</f>
        <v/>
      </c>
      <c r="B117" s="10" t="str">
        <f>IF($A117="","",Registro_Contenedores!B117)</f>
        <v/>
      </c>
      <c r="C117" s="10" t="str">
        <f>IF($A117="","",Registro_Contenedores!E117)</f>
        <v/>
      </c>
      <c r="D117" s="10" t="str">
        <f>IF($A117="","",Registro_Contenedores!H117)</f>
        <v/>
      </c>
      <c r="E117" s="10" t="str">
        <f>IF($A117="","",Planif_Grupasa!G117)</f>
        <v/>
      </c>
      <c r="F117" s="10" t="str">
        <f>IF($A117="","",Planif_Grupasa!I117)</f>
        <v/>
      </c>
      <c r="G117" s="10" t="str">
        <f>IF($A117="","",Registro_Contenedores!K117)</f>
        <v/>
      </c>
      <c r="H117" s="9"/>
      <c r="I117" s="9"/>
      <c r="J117" s="9"/>
    </row>
    <row r="118" spans="1:10" x14ac:dyDescent="0.35">
      <c r="A118" s="10" t="str">
        <f>IF(Registro_Contenedores!A118="","",Registro_Contenedores!A118)</f>
        <v/>
      </c>
      <c r="B118" s="10" t="str">
        <f>IF($A118="","",Registro_Contenedores!B118)</f>
        <v/>
      </c>
      <c r="C118" s="10" t="str">
        <f>IF($A118="","",Registro_Contenedores!E118)</f>
        <v/>
      </c>
      <c r="D118" s="10" t="str">
        <f>IF($A118="","",Registro_Contenedores!H118)</f>
        <v/>
      </c>
      <c r="E118" s="10" t="str">
        <f>IF($A118="","",Planif_Grupasa!G118)</f>
        <v/>
      </c>
      <c r="F118" s="10" t="str">
        <f>IF($A118="","",Planif_Grupasa!I118)</f>
        <v/>
      </c>
      <c r="G118" s="10" t="str">
        <f>IF($A118="","",Registro_Contenedores!K118)</f>
        <v/>
      </c>
      <c r="H118" s="9"/>
      <c r="I118" s="9"/>
      <c r="J118" s="9"/>
    </row>
    <row r="119" spans="1:10" x14ac:dyDescent="0.35">
      <c r="A119" s="10" t="str">
        <f>IF(Registro_Contenedores!A119="","",Registro_Contenedores!A119)</f>
        <v/>
      </c>
      <c r="B119" s="10" t="str">
        <f>IF($A119="","",Registro_Contenedores!B119)</f>
        <v/>
      </c>
      <c r="C119" s="10" t="str">
        <f>IF($A119="","",Registro_Contenedores!E119)</f>
        <v/>
      </c>
      <c r="D119" s="10" t="str">
        <f>IF($A119="","",Registro_Contenedores!H119)</f>
        <v/>
      </c>
      <c r="E119" s="10" t="str">
        <f>IF($A119="","",Planif_Grupasa!G119)</f>
        <v/>
      </c>
      <c r="F119" s="10" t="str">
        <f>IF($A119="","",Planif_Grupasa!I119)</f>
        <v/>
      </c>
      <c r="G119" s="10" t="str">
        <f>IF($A119="","",Registro_Contenedores!K119)</f>
        <v/>
      </c>
      <c r="H119" s="9"/>
      <c r="I119" s="9"/>
      <c r="J119" s="9"/>
    </row>
    <row r="120" spans="1:10" x14ac:dyDescent="0.35">
      <c r="A120" s="10" t="str">
        <f>IF(Registro_Contenedores!A120="","",Registro_Contenedores!A120)</f>
        <v/>
      </c>
      <c r="B120" s="10" t="str">
        <f>IF($A120="","",Registro_Contenedores!B120)</f>
        <v/>
      </c>
      <c r="C120" s="10" t="str">
        <f>IF($A120="","",Registro_Contenedores!E120)</f>
        <v/>
      </c>
      <c r="D120" s="10" t="str">
        <f>IF($A120="","",Registro_Contenedores!H120)</f>
        <v/>
      </c>
      <c r="E120" s="10" t="str">
        <f>IF($A120="","",Planif_Grupasa!G120)</f>
        <v/>
      </c>
      <c r="F120" s="10" t="str">
        <f>IF($A120="","",Planif_Grupasa!I120)</f>
        <v/>
      </c>
      <c r="G120" s="10" t="str">
        <f>IF($A120="","",Registro_Contenedores!K120)</f>
        <v/>
      </c>
      <c r="H120" s="9"/>
      <c r="I120" s="9"/>
      <c r="J120" s="9"/>
    </row>
    <row r="121" spans="1:10" x14ac:dyDescent="0.35">
      <c r="A121" s="10" t="str">
        <f>IF(Registro_Contenedores!A121="","",Registro_Contenedores!A121)</f>
        <v/>
      </c>
      <c r="B121" s="10" t="str">
        <f>IF($A121="","",Registro_Contenedores!B121)</f>
        <v/>
      </c>
      <c r="C121" s="10" t="str">
        <f>IF($A121="","",Registro_Contenedores!E121)</f>
        <v/>
      </c>
      <c r="D121" s="10" t="str">
        <f>IF($A121="","",Registro_Contenedores!H121)</f>
        <v/>
      </c>
      <c r="E121" s="10" t="str">
        <f>IF($A121="","",Planif_Grupasa!G121)</f>
        <v/>
      </c>
      <c r="F121" s="10" t="str">
        <f>IF($A121="","",Planif_Grupasa!I121)</f>
        <v/>
      </c>
      <c r="G121" s="10" t="str">
        <f>IF($A121="","",Registro_Contenedores!K121)</f>
        <v/>
      </c>
      <c r="H121" s="9"/>
      <c r="I121" s="9"/>
      <c r="J121" s="9"/>
    </row>
    <row r="122" spans="1:10" x14ac:dyDescent="0.35">
      <c r="A122" s="10" t="str">
        <f>IF(Registro_Contenedores!A122="","",Registro_Contenedores!A122)</f>
        <v/>
      </c>
      <c r="B122" s="10" t="str">
        <f>IF($A122="","",Registro_Contenedores!B122)</f>
        <v/>
      </c>
      <c r="C122" s="10" t="str">
        <f>IF($A122="","",Registro_Contenedores!E122)</f>
        <v/>
      </c>
      <c r="D122" s="10" t="str">
        <f>IF($A122="","",Registro_Contenedores!H122)</f>
        <v/>
      </c>
      <c r="E122" s="10" t="str">
        <f>IF($A122="","",Planif_Grupasa!G122)</f>
        <v/>
      </c>
      <c r="F122" s="10" t="str">
        <f>IF($A122="","",Planif_Grupasa!I122)</f>
        <v/>
      </c>
      <c r="G122" s="10" t="str">
        <f>IF($A122="","",Registro_Contenedores!K122)</f>
        <v/>
      </c>
      <c r="H122" s="9"/>
      <c r="I122" s="9"/>
      <c r="J122" s="9"/>
    </row>
    <row r="123" spans="1:10" x14ac:dyDescent="0.35">
      <c r="A123" s="10" t="str">
        <f>IF(Registro_Contenedores!A123="","",Registro_Contenedores!A123)</f>
        <v/>
      </c>
      <c r="B123" s="10" t="str">
        <f>IF($A123="","",Registro_Contenedores!B123)</f>
        <v/>
      </c>
      <c r="C123" s="10" t="str">
        <f>IF($A123="","",Registro_Contenedores!E123)</f>
        <v/>
      </c>
      <c r="D123" s="10" t="str">
        <f>IF($A123="","",Registro_Contenedores!H123)</f>
        <v/>
      </c>
      <c r="E123" s="10" t="str">
        <f>IF($A123="","",Planif_Grupasa!G123)</f>
        <v/>
      </c>
      <c r="F123" s="10" t="str">
        <f>IF($A123="","",Planif_Grupasa!I123)</f>
        <v/>
      </c>
      <c r="G123" s="10" t="str">
        <f>IF($A123="","",Registro_Contenedores!K123)</f>
        <v/>
      </c>
      <c r="H123" s="9"/>
      <c r="I123" s="9"/>
      <c r="J123" s="9"/>
    </row>
    <row r="124" spans="1:10" x14ac:dyDescent="0.35">
      <c r="A124" s="10" t="str">
        <f>IF(Registro_Contenedores!A124="","",Registro_Contenedores!A124)</f>
        <v/>
      </c>
      <c r="B124" s="10" t="str">
        <f>IF($A124="","",Registro_Contenedores!B124)</f>
        <v/>
      </c>
      <c r="C124" s="10" t="str">
        <f>IF($A124="","",Registro_Contenedores!E124)</f>
        <v/>
      </c>
      <c r="D124" s="10" t="str">
        <f>IF($A124="","",Registro_Contenedores!H124)</f>
        <v/>
      </c>
      <c r="E124" s="10" t="str">
        <f>IF($A124="","",Planif_Grupasa!G124)</f>
        <v/>
      </c>
      <c r="F124" s="10" t="str">
        <f>IF($A124="","",Planif_Grupasa!I124)</f>
        <v/>
      </c>
      <c r="G124" s="10" t="str">
        <f>IF($A124="","",Registro_Contenedores!K124)</f>
        <v/>
      </c>
      <c r="H124" s="9"/>
      <c r="I124" s="9"/>
      <c r="J124" s="9"/>
    </row>
    <row r="125" spans="1:10" x14ac:dyDescent="0.35">
      <c r="A125" s="10" t="str">
        <f>IF(Registro_Contenedores!A125="","",Registro_Contenedores!A125)</f>
        <v/>
      </c>
      <c r="B125" s="10" t="str">
        <f>IF($A125="","",Registro_Contenedores!B125)</f>
        <v/>
      </c>
      <c r="C125" s="10" t="str">
        <f>IF($A125="","",Registro_Contenedores!E125)</f>
        <v/>
      </c>
      <c r="D125" s="10" t="str">
        <f>IF($A125="","",Registro_Contenedores!H125)</f>
        <v/>
      </c>
      <c r="E125" s="10" t="str">
        <f>IF($A125="","",Planif_Grupasa!G125)</f>
        <v/>
      </c>
      <c r="F125" s="10" t="str">
        <f>IF($A125="","",Planif_Grupasa!I125)</f>
        <v/>
      </c>
      <c r="G125" s="10" t="str">
        <f>IF($A125="","",Registro_Contenedores!K125)</f>
        <v/>
      </c>
      <c r="H125" s="9"/>
      <c r="I125" s="9"/>
      <c r="J125" s="9"/>
    </row>
    <row r="126" spans="1:10" x14ac:dyDescent="0.35">
      <c r="A126" s="10" t="str">
        <f>IF(Registro_Contenedores!A126="","",Registro_Contenedores!A126)</f>
        <v/>
      </c>
      <c r="B126" s="10" t="str">
        <f>IF($A126="","",Registro_Contenedores!B126)</f>
        <v/>
      </c>
      <c r="C126" s="10" t="str">
        <f>IF($A126="","",Registro_Contenedores!E126)</f>
        <v/>
      </c>
      <c r="D126" s="10" t="str">
        <f>IF($A126="","",Registro_Contenedores!H126)</f>
        <v/>
      </c>
      <c r="E126" s="10" t="str">
        <f>IF($A126="","",Planif_Grupasa!G126)</f>
        <v/>
      </c>
      <c r="F126" s="10" t="str">
        <f>IF($A126="","",Planif_Grupasa!I126)</f>
        <v/>
      </c>
      <c r="G126" s="10" t="str">
        <f>IF($A126="","",Registro_Contenedores!K126)</f>
        <v/>
      </c>
      <c r="H126" s="9"/>
      <c r="I126" s="9"/>
      <c r="J126" s="9"/>
    </row>
    <row r="127" spans="1:10" x14ac:dyDescent="0.35">
      <c r="A127" s="10" t="str">
        <f>IF(Registro_Contenedores!A127="","",Registro_Contenedores!A127)</f>
        <v/>
      </c>
      <c r="B127" s="10" t="str">
        <f>IF($A127="","",Registro_Contenedores!B127)</f>
        <v/>
      </c>
      <c r="C127" s="10" t="str">
        <f>IF($A127="","",Registro_Contenedores!E127)</f>
        <v/>
      </c>
      <c r="D127" s="10" t="str">
        <f>IF($A127="","",Registro_Contenedores!H127)</f>
        <v/>
      </c>
      <c r="E127" s="10" t="str">
        <f>IF($A127="","",Planif_Grupasa!G127)</f>
        <v/>
      </c>
      <c r="F127" s="10" t="str">
        <f>IF($A127="","",Planif_Grupasa!I127)</f>
        <v/>
      </c>
      <c r="G127" s="10" t="str">
        <f>IF($A127="","",Registro_Contenedores!K127)</f>
        <v/>
      </c>
      <c r="H127" s="9"/>
      <c r="I127" s="9"/>
      <c r="J127" s="9"/>
    </row>
    <row r="128" spans="1:10" x14ac:dyDescent="0.35">
      <c r="A128" s="10" t="str">
        <f>IF(Registro_Contenedores!A128="","",Registro_Contenedores!A128)</f>
        <v/>
      </c>
      <c r="B128" s="10" t="str">
        <f>IF($A128="","",Registro_Contenedores!B128)</f>
        <v/>
      </c>
      <c r="C128" s="10" t="str">
        <f>IF($A128="","",Registro_Contenedores!E128)</f>
        <v/>
      </c>
      <c r="D128" s="10" t="str">
        <f>IF($A128="","",Registro_Contenedores!H128)</f>
        <v/>
      </c>
      <c r="E128" s="10" t="str">
        <f>IF($A128="","",Planif_Grupasa!G128)</f>
        <v/>
      </c>
      <c r="F128" s="10" t="str">
        <f>IF($A128="","",Planif_Grupasa!I128)</f>
        <v/>
      </c>
      <c r="G128" s="10" t="str">
        <f>IF($A128="","",Registro_Contenedores!K128)</f>
        <v/>
      </c>
      <c r="H128" s="9"/>
      <c r="I128" s="9"/>
      <c r="J128" s="9"/>
    </row>
    <row r="129" spans="1:10" x14ac:dyDescent="0.35">
      <c r="A129" s="10" t="str">
        <f>IF(Registro_Contenedores!A129="","",Registro_Contenedores!A129)</f>
        <v/>
      </c>
      <c r="B129" s="10" t="str">
        <f>IF($A129="","",Registro_Contenedores!B129)</f>
        <v/>
      </c>
      <c r="C129" s="10" t="str">
        <f>IF($A129="","",Registro_Contenedores!E129)</f>
        <v/>
      </c>
      <c r="D129" s="10" t="str">
        <f>IF($A129="","",Registro_Contenedores!H129)</f>
        <v/>
      </c>
      <c r="E129" s="10" t="str">
        <f>IF($A129="","",Planif_Grupasa!G129)</f>
        <v/>
      </c>
      <c r="F129" s="10" t="str">
        <f>IF($A129="","",Planif_Grupasa!I129)</f>
        <v/>
      </c>
      <c r="G129" s="10" t="str">
        <f>IF($A129="","",Registro_Contenedores!K129)</f>
        <v/>
      </c>
      <c r="H129" s="9"/>
      <c r="I129" s="9"/>
      <c r="J129" s="9"/>
    </row>
    <row r="130" spans="1:10" x14ac:dyDescent="0.35">
      <c r="A130" s="10" t="str">
        <f>IF(Registro_Contenedores!A130="","",Registro_Contenedores!A130)</f>
        <v/>
      </c>
      <c r="B130" s="10" t="str">
        <f>IF($A130="","",Registro_Contenedores!B130)</f>
        <v/>
      </c>
      <c r="C130" s="10" t="str">
        <f>IF($A130="","",Registro_Contenedores!E130)</f>
        <v/>
      </c>
      <c r="D130" s="10" t="str">
        <f>IF($A130="","",Registro_Contenedores!H130)</f>
        <v/>
      </c>
      <c r="E130" s="10" t="str">
        <f>IF($A130="","",Planif_Grupasa!G130)</f>
        <v/>
      </c>
      <c r="F130" s="10" t="str">
        <f>IF($A130="","",Planif_Grupasa!I130)</f>
        <v/>
      </c>
      <c r="G130" s="10" t="str">
        <f>IF($A130="","",Registro_Contenedores!K130)</f>
        <v/>
      </c>
      <c r="H130" s="9"/>
      <c r="I130" s="9"/>
      <c r="J130" s="9"/>
    </row>
    <row r="131" spans="1:10" x14ac:dyDescent="0.35">
      <c r="A131" s="10" t="str">
        <f>IF(Registro_Contenedores!A131="","",Registro_Contenedores!A131)</f>
        <v/>
      </c>
      <c r="B131" s="10" t="str">
        <f>IF($A131="","",Registro_Contenedores!B131)</f>
        <v/>
      </c>
      <c r="C131" s="10" t="str">
        <f>IF($A131="","",Registro_Contenedores!E131)</f>
        <v/>
      </c>
      <c r="D131" s="10" t="str">
        <f>IF($A131="","",Registro_Contenedores!H131)</f>
        <v/>
      </c>
      <c r="E131" s="10" t="str">
        <f>IF($A131="","",Planif_Grupasa!G131)</f>
        <v/>
      </c>
      <c r="F131" s="10" t="str">
        <f>IF($A131="","",Planif_Grupasa!I131)</f>
        <v/>
      </c>
      <c r="G131" s="10" t="str">
        <f>IF($A131="","",Registro_Contenedores!K131)</f>
        <v/>
      </c>
      <c r="H131" s="9"/>
      <c r="I131" s="9"/>
      <c r="J131" s="9"/>
    </row>
    <row r="132" spans="1:10" x14ac:dyDescent="0.35">
      <c r="A132" s="10" t="str">
        <f>IF(Registro_Contenedores!A132="","",Registro_Contenedores!A132)</f>
        <v/>
      </c>
      <c r="B132" s="10" t="str">
        <f>IF($A132="","",Registro_Contenedores!B132)</f>
        <v/>
      </c>
      <c r="C132" s="10" t="str">
        <f>IF($A132="","",Registro_Contenedores!E132)</f>
        <v/>
      </c>
      <c r="D132" s="10" t="str">
        <f>IF($A132="","",Registro_Contenedores!H132)</f>
        <v/>
      </c>
      <c r="E132" s="10" t="str">
        <f>IF($A132="","",Planif_Grupasa!G132)</f>
        <v/>
      </c>
      <c r="F132" s="10" t="str">
        <f>IF($A132="","",Planif_Grupasa!I132)</f>
        <v/>
      </c>
      <c r="G132" s="10" t="str">
        <f>IF($A132="","",Registro_Contenedores!K132)</f>
        <v/>
      </c>
      <c r="H132" s="9"/>
      <c r="I132" s="9"/>
      <c r="J132" s="9"/>
    </row>
    <row r="133" spans="1:10" x14ac:dyDescent="0.35">
      <c r="A133" s="10" t="str">
        <f>IF(Registro_Contenedores!A133="","",Registro_Contenedores!A133)</f>
        <v/>
      </c>
      <c r="B133" s="10" t="str">
        <f>IF($A133="","",Registro_Contenedores!B133)</f>
        <v/>
      </c>
      <c r="C133" s="10" t="str">
        <f>IF($A133="","",Registro_Contenedores!E133)</f>
        <v/>
      </c>
      <c r="D133" s="10" t="str">
        <f>IF($A133="","",Registro_Contenedores!H133)</f>
        <v/>
      </c>
      <c r="E133" s="10" t="str">
        <f>IF($A133="","",Planif_Grupasa!G133)</f>
        <v/>
      </c>
      <c r="F133" s="10" t="str">
        <f>IF($A133="","",Planif_Grupasa!I133)</f>
        <v/>
      </c>
      <c r="G133" s="10" t="str">
        <f>IF($A133="","",Registro_Contenedores!K133)</f>
        <v/>
      </c>
      <c r="H133" s="9"/>
      <c r="I133" s="9"/>
      <c r="J133" s="9"/>
    </row>
    <row r="134" spans="1:10" x14ac:dyDescent="0.35">
      <c r="A134" s="10" t="str">
        <f>IF(Registro_Contenedores!A134="","",Registro_Contenedores!A134)</f>
        <v/>
      </c>
      <c r="B134" s="10" t="str">
        <f>IF($A134="","",Registro_Contenedores!B134)</f>
        <v/>
      </c>
      <c r="C134" s="10" t="str">
        <f>IF($A134="","",Registro_Contenedores!E134)</f>
        <v/>
      </c>
      <c r="D134" s="10" t="str">
        <f>IF($A134="","",Registro_Contenedores!H134)</f>
        <v/>
      </c>
      <c r="E134" s="10" t="str">
        <f>IF($A134="","",Planif_Grupasa!G134)</f>
        <v/>
      </c>
      <c r="F134" s="10" t="str">
        <f>IF($A134="","",Planif_Grupasa!I134)</f>
        <v/>
      </c>
      <c r="G134" s="10" t="str">
        <f>IF($A134="","",Registro_Contenedores!K134)</f>
        <v/>
      </c>
      <c r="H134" s="9"/>
      <c r="I134" s="9"/>
      <c r="J134" s="9"/>
    </row>
    <row r="135" spans="1:10" x14ac:dyDescent="0.35">
      <c r="A135" s="10" t="str">
        <f>IF(Registro_Contenedores!A135="","",Registro_Contenedores!A135)</f>
        <v/>
      </c>
      <c r="B135" s="10" t="str">
        <f>IF($A135="","",Registro_Contenedores!B135)</f>
        <v/>
      </c>
      <c r="C135" s="10" t="str">
        <f>IF($A135="","",Registro_Contenedores!E135)</f>
        <v/>
      </c>
      <c r="D135" s="10" t="str">
        <f>IF($A135="","",Registro_Contenedores!H135)</f>
        <v/>
      </c>
      <c r="E135" s="10" t="str">
        <f>IF($A135="","",Planif_Grupasa!G135)</f>
        <v/>
      </c>
      <c r="F135" s="10" t="str">
        <f>IF($A135="","",Planif_Grupasa!I135)</f>
        <v/>
      </c>
      <c r="G135" s="10" t="str">
        <f>IF($A135="","",Registro_Contenedores!K135)</f>
        <v/>
      </c>
      <c r="H135" s="9"/>
      <c r="I135" s="9"/>
      <c r="J135" s="9"/>
    </row>
    <row r="136" spans="1:10" x14ac:dyDescent="0.35">
      <c r="A136" s="10" t="str">
        <f>IF(Registro_Contenedores!A136="","",Registro_Contenedores!A136)</f>
        <v/>
      </c>
      <c r="B136" s="10" t="str">
        <f>IF($A136="","",Registro_Contenedores!B136)</f>
        <v/>
      </c>
      <c r="C136" s="10" t="str">
        <f>IF($A136="","",Registro_Contenedores!E136)</f>
        <v/>
      </c>
      <c r="D136" s="10" t="str">
        <f>IF($A136="","",Registro_Contenedores!H136)</f>
        <v/>
      </c>
      <c r="E136" s="10" t="str">
        <f>IF($A136="","",Planif_Grupasa!G136)</f>
        <v/>
      </c>
      <c r="F136" s="10" t="str">
        <f>IF($A136="","",Planif_Grupasa!I136)</f>
        <v/>
      </c>
      <c r="G136" s="10" t="str">
        <f>IF($A136="","",Registro_Contenedores!K136)</f>
        <v/>
      </c>
      <c r="H136" s="9"/>
      <c r="I136" s="9"/>
      <c r="J136" s="9"/>
    </row>
    <row r="137" spans="1:10" x14ac:dyDescent="0.35">
      <c r="A137" s="10" t="str">
        <f>IF(Registro_Contenedores!A137="","",Registro_Contenedores!A137)</f>
        <v/>
      </c>
      <c r="B137" s="10" t="str">
        <f>IF($A137="","",Registro_Contenedores!B137)</f>
        <v/>
      </c>
      <c r="C137" s="10" t="str">
        <f>IF($A137="","",Registro_Contenedores!E137)</f>
        <v/>
      </c>
      <c r="D137" s="10" t="str">
        <f>IF($A137="","",Registro_Contenedores!H137)</f>
        <v/>
      </c>
      <c r="E137" s="10" t="str">
        <f>IF($A137="","",Planif_Grupasa!G137)</f>
        <v/>
      </c>
      <c r="F137" s="10" t="str">
        <f>IF($A137="","",Planif_Grupasa!I137)</f>
        <v/>
      </c>
      <c r="G137" s="10" t="str">
        <f>IF($A137="","",Registro_Contenedores!K137)</f>
        <v/>
      </c>
      <c r="H137" s="9"/>
      <c r="I137" s="9"/>
      <c r="J137" s="9"/>
    </row>
    <row r="138" spans="1:10" x14ac:dyDescent="0.35">
      <c r="A138" s="10" t="str">
        <f>IF(Registro_Contenedores!A138="","",Registro_Contenedores!A138)</f>
        <v/>
      </c>
      <c r="B138" s="10" t="str">
        <f>IF($A138="","",Registro_Contenedores!B138)</f>
        <v/>
      </c>
      <c r="C138" s="10" t="str">
        <f>IF($A138="","",Registro_Contenedores!E138)</f>
        <v/>
      </c>
      <c r="D138" s="10" t="str">
        <f>IF($A138="","",Registro_Contenedores!H138)</f>
        <v/>
      </c>
      <c r="E138" s="10" t="str">
        <f>IF($A138="","",Planif_Grupasa!G138)</f>
        <v/>
      </c>
      <c r="F138" s="10" t="str">
        <f>IF($A138="","",Planif_Grupasa!I138)</f>
        <v/>
      </c>
      <c r="G138" s="10" t="str">
        <f>IF($A138="","",Registro_Contenedores!K138)</f>
        <v/>
      </c>
      <c r="H138" s="9"/>
      <c r="I138" s="9"/>
      <c r="J138" s="9"/>
    </row>
    <row r="139" spans="1:10" x14ac:dyDescent="0.35">
      <c r="A139" s="10" t="str">
        <f>IF(Registro_Contenedores!A139="","",Registro_Contenedores!A139)</f>
        <v/>
      </c>
      <c r="B139" s="10" t="str">
        <f>IF($A139="","",Registro_Contenedores!B139)</f>
        <v/>
      </c>
      <c r="C139" s="10" t="str">
        <f>IF($A139="","",Registro_Contenedores!E139)</f>
        <v/>
      </c>
      <c r="D139" s="10" t="str">
        <f>IF($A139="","",Registro_Contenedores!H139)</f>
        <v/>
      </c>
      <c r="E139" s="10" t="str">
        <f>IF($A139="","",Planif_Grupasa!G139)</f>
        <v/>
      </c>
      <c r="F139" s="10" t="str">
        <f>IF($A139="","",Planif_Grupasa!I139)</f>
        <v/>
      </c>
      <c r="G139" s="10" t="str">
        <f>IF($A139="","",Registro_Contenedores!K139)</f>
        <v/>
      </c>
      <c r="H139" s="9"/>
      <c r="I139" s="9"/>
      <c r="J139" s="9"/>
    </row>
    <row r="140" spans="1:10" x14ac:dyDescent="0.35">
      <c r="A140" s="10" t="str">
        <f>IF(Registro_Contenedores!A140="","",Registro_Contenedores!A140)</f>
        <v/>
      </c>
      <c r="B140" s="10" t="str">
        <f>IF($A140="","",Registro_Contenedores!B140)</f>
        <v/>
      </c>
      <c r="C140" s="10" t="str">
        <f>IF($A140="","",Registro_Contenedores!E140)</f>
        <v/>
      </c>
      <c r="D140" s="10" t="str">
        <f>IF($A140="","",Registro_Contenedores!H140)</f>
        <v/>
      </c>
      <c r="E140" s="10" t="str">
        <f>IF($A140="","",Planif_Grupasa!G140)</f>
        <v/>
      </c>
      <c r="F140" s="10" t="str">
        <f>IF($A140="","",Planif_Grupasa!I140)</f>
        <v/>
      </c>
      <c r="G140" s="10" t="str">
        <f>IF($A140="","",Registro_Contenedores!K140)</f>
        <v/>
      </c>
      <c r="H140" s="9"/>
      <c r="I140" s="9"/>
      <c r="J140" s="9"/>
    </row>
    <row r="141" spans="1:10" x14ac:dyDescent="0.35">
      <c r="A141" s="10" t="str">
        <f>IF(Registro_Contenedores!A141="","",Registro_Contenedores!A141)</f>
        <v/>
      </c>
      <c r="B141" s="10" t="str">
        <f>IF($A141="","",Registro_Contenedores!B141)</f>
        <v/>
      </c>
      <c r="C141" s="10" t="str">
        <f>IF($A141="","",Registro_Contenedores!E141)</f>
        <v/>
      </c>
      <c r="D141" s="10" t="str">
        <f>IF($A141="","",Registro_Contenedores!H141)</f>
        <v/>
      </c>
      <c r="E141" s="10" t="str">
        <f>IF($A141="","",Planif_Grupasa!G141)</f>
        <v/>
      </c>
      <c r="F141" s="10" t="str">
        <f>IF($A141="","",Planif_Grupasa!I141)</f>
        <v/>
      </c>
      <c r="G141" s="10" t="str">
        <f>IF($A141="","",Registro_Contenedores!K141)</f>
        <v/>
      </c>
      <c r="H141" s="9"/>
      <c r="I141" s="9"/>
      <c r="J141" s="9"/>
    </row>
    <row r="142" spans="1:10" x14ac:dyDescent="0.35">
      <c r="A142" s="10" t="str">
        <f>IF(Registro_Contenedores!A142="","",Registro_Contenedores!A142)</f>
        <v/>
      </c>
      <c r="B142" s="10" t="str">
        <f>IF($A142="","",Registro_Contenedores!B142)</f>
        <v/>
      </c>
      <c r="C142" s="10" t="str">
        <f>IF($A142="","",Registro_Contenedores!E142)</f>
        <v/>
      </c>
      <c r="D142" s="10" t="str">
        <f>IF($A142="","",Registro_Contenedores!H142)</f>
        <v/>
      </c>
      <c r="E142" s="10" t="str">
        <f>IF($A142="","",Planif_Grupasa!G142)</f>
        <v/>
      </c>
      <c r="F142" s="10" t="str">
        <f>IF($A142="","",Planif_Grupasa!I142)</f>
        <v/>
      </c>
      <c r="G142" s="10" t="str">
        <f>IF($A142="","",Registro_Contenedores!K142)</f>
        <v/>
      </c>
      <c r="H142" s="9"/>
      <c r="I142" s="9"/>
      <c r="J142" s="9"/>
    </row>
    <row r="143" spans="1:10" x14ac:dyDescent="0.35">
      <c r="A143" s="10" t="str">
        <f>IF(Registro_Contenedores!A143="","",Registro_Contenedores!A143)</f>
        <v/>
      </c>
      <c r="B143" s="10" t="str">
        <f>IF($A143="","",Registro_Contenedores!B143)</f>
        <v/>
      </c>
      <c r="C143" s="10" t="str">
        <f>IF($A143="","",Registro_Contenedores!E143)</f>
        <v/>
      </c>
      <c r="D143" s="10" t="str">
        <f>IF($A143="","",Registro_Contenedores!H143)</f>
        <v/>
      </c>
      <c r="E143" s="10" t="str">
        <f>IF($A143="","",Planif_Grupasa!G143)</f>
        <v/>
      </c>
      <c r="F143" s="10" t="str">
        <f>IF($A143="","",Planif_Grupasa!I143)</f>
        <v/>
      </c>
      <c r="G143" s="10" t="str">
        <f>IF($A143="","",Registro_Contenedores!K143)</f>
        <v/>
      </c>
      <c r="H143" s="9"/>
      <c r="I143" s="9"/>
      <c r="J143" s="9"/>
    </row>
    <row r="144" spans="1:10" x14ac:dyDescent="0.35">
      <c r="A144" s="10" t="str">
        <f>IF(Registro_Contenedores!A144="","",Registro_Contenedores!A144)</f>
        <v/>
      </c>
      <c r="B144" s="10" t="str">
        <f>IF($A144="","",Registro_Contenedores!B144)</f>
        <v/>
      </c>
      <c r="C144" s="10" t="str">
        <f>IF($A144="","",Registro_Contenedores!E144)</f>
        <v/>
      </c>
      <c r="D144" s="10" t="str">
        <f>IF($A144="","",Registro_Contenedores!H144)</f>
        <v/>
      </c>
      <c r="E144" s="10" t="str">
        <f>IF($A144="","",Planif_Grupasa!G144)</f>
        <v/>
      </c>
      <c r="F144" s="10" t="str">
        <f>IF($A144="","",Planif_Grupasa!I144)</f>
        <v/>
      </c>
      <c r="G144" s="10" t="str">
        <f>IF($A144="","",Registro_Contenedores!K144)</f>
        <v/>
      </c>
      <c r="H144" s="9"/>
      <c r="I144" s="9"/>
      <c r="J144" s="9"/>
    </row>
    <row r="145" spans="1:10" x14ac:dyDescent="0.35">
      <c r="A145" s="10" t="str">
        <f>IF(Registro_Contenedores!A145="","",Registro_Contenedores!A145)</f>
        <v/>
      </c>
      <c r="B145" s="10" t="str">
        <f>IF($A145="","",Registro_Contenedores!B145)</f>
        <v/>
      </c>
      <c r="C145" s="10" t="str">
        <f>IF($A145="","",Registro_Contenedores!E145)</f>
        <v/>
      </c>
      <c r="D145" s="10" t="str">
        <f>IF($A145="","",Registro_Contenedores!H145)</f>
        <v/>
      </c>
      <c r="E145" s="10" t="str">
        <f>IF($A145="","",Planif_Grupasa!G145)</f>
        <v/>
      </c>
      <c r="F145" s="10" t="str">
        <f>IF($A145="","",Planif_Grupasa!I145)</f>
        <v/>
      </c>
      <c r="G145" s="10" t="str">
        <f>IF($A145="","",Registro_Contenedores!K145)</f>
        <v/>
      </c>
      <c r="H145" s="9"/>
      <c r="I145" s="9"/>
      <c r="J145" s="9"/>
    </row>
    <row r="146" spans="1:10" x14ac:dyDescent="0.35">
      <c r="A146" s="10" t="str">
        <f>IF(Registro_Contenedores!A146="","",Registro_Contenedores!A146)</f>
        <v/>
      </c>
      <c r="B146" s="10" t="str">
        <f>IF($A146="","",Registro_Contenedores!B146)</f>
        <v/>
      </c>
      <c r="C146" s="10" t="str">
        <f>IF($A146="","",Registro_Contenedores!E146)</f>
        <v/>
      </c>
      <c r="D146" s="10" t="str">
        <f>IF($A146="","",Registro_Contenedores!H146)</f>
        <v/>
      </c>
      <c r="E146" s="10" t="str">
        <f>IF($A146="","",Planif_Grupasa!G146)</f>
        <v/>
      </c>
      <c r="F146" s="10" t="str">
        <f>IF($A146="","",Planif_Grupasa!I146)</f>
        <v/>
      </c>
      <c r="G146" s="10" t="str">
        <f>IF($A146="","",Registro_Contenedores!K146)</f>
        <v/>
      </c>
      <c r="H146" s="9"/>
      <c r="I146" s="9"/>
      <c r="J146" s="9"/>
    </row>
    <row r="147" spans="1:10" x14ac:dyDescent="0.35">
      <c r="A147" s="10" t="str">
        <f>IF(Registro_Contenedores!A147="","",Registro_Contenedores!A147)</f>
        <v/>
      </c>
      <c r="B147" s="10" t="str">
        <f>IF($A147="","",Registro_Contenedores!B147)</f>
        <v/>
      </c>
      <c r="C147" s="10" t="str">
        <f>IF($A147="","",Registro_Contenedores!E147)</f>
        <v/>
      </c>
      <c r="D147" s="10" t="str">
        <f>IF($A147="","",Registro_Contenedores!H147)</f>
        <v/>
      </c>
      <c r="E147" s="10" t="str">
        <f>IF($A147="","",Planif_Grupasa!G147)</f>
        <v/>
      </c>
      <c r="F147" s="10" t="str">
        <f>IF($A147="","",Planif_Grupasa!I147)</f>
        <v/>
      </c>
      <c r="G147" s="10" t="str">
        <f>IF($A147="","",Registro_Contenedores!K147)</f>
        <v/>
      </c>
      <c r="H147" s="9"/>
      <c r="I147" s="9"/>
      <c r="J147" s="9"/>
    </row>
    <row r="148" spans="1:10" x14ac:dyDescent="0.35">
      <c r="A148" s="10" t="str">
        <f>IF(Registro_Contenedores!A148="","",Registro_Contenedores!A148)</f>
        <v/>
      </c>
      <c r="B148" s="10" t="str">
        <f>IF($A148="","",Registro_Contenedores!B148)</f>
        <v/>
      </c>
      <c r="C148" s="10" t="str">
        <f>IF($A148="","",Registro_Contenedores!E148)</f>
        <v/>
      </c>
      <c r="D148" s="10" t="str">
        <f>IF($A148="","",Registro_Contenedores!H148)</f>
        <v/>
      </c>
      <c r="E148" s="10" t="str">
        <f>IF($A148="","",Planif_Grupasa!G148)</f>
        <v/>
      </c>
      <c r="F148" s="10" t="str">
        <f>IF($A148="","",Planif_Grupasa!I148)</f>
        <v/>
      </c>
      <c r="G148" s="10" t="str">
        <f>IF($A148="","",Registro_Contenedores!K148)</f>
        <v/>
      </c>
      <c r="H148" s="9"/>
      <c r="I148" s="9"/>
      <c r="J148" s="9"/>
    </row>
    <row r="149" spans="1:10" x14ac:dyDescent="0.35">
      <c r="A149" s="10" t="str">
        <f>IF(Registro_Contenedores!A149="","",Registro_Contenedores!A149)</f>
        <v/>
      </c>
      <c r="B149" s="10" t="str">
        <f>IF($A149="","",Registro_Contenedores!B149)</f>
        <v/>
      </c>
      <c r="C149" s="10" t="str">
        <f>IF($A149="","",Registro_Contenedores!E149)</f>
        <v/>
      </c>
      <c r="D149" s="10" t="str">
        <f>IF($A149="","",Registro_Contenedores!H149)</f>
        <v/>
      </c>
      <c r="E149" s="10" t="str">
        <f>IF($A149="","",Planif_Grupasa!G149)</f>
        <v/>
      </c>
      <c r="F149" s="10" t="str">
        <f>IF($A149="","",Planif_Grupasa!I149)</f>
        <v/>
      </c>
      <c r="G149" s="10" t="str">
        <f>IF($A149="","",Registro_Contenedores!K149)</f>
        <v/>
      </c>
      <c r="H149" s="9"/>
      <c r="I149" s="9"/>
      <c r="J149" s="9"/>
    </row>
    <row r="150" spans="1:10" x14ac:dyDescent="0.35">
      <c r="A150" s="10" t="str">
        <f>IF(Registro_Contenedores!A150="","",Registro_Contenedores!A150)</f>
        <v/>
      </c>
      <c r="B150" s="10" t="str">
        <f>IF($A150="","",Registro_Contenedores!B150)</f>
        <v/>
      </c>
      <c r="C150" s="10" t="str">
        <f>IF($A150="","",Registro_Contenedores!E150)</f>
        <v/>
      </c>
      <c r="D150" s="10" t="str">
        <f>IF($A150="","",Registro_Contenedores!H150)</f>
        <v/>
      </c>
      <c r="E150" s="10" t="str">
        <f>IF($A150="","",Planif_Grupasa!G150)</f>
        <v/>
      </c>
      <c r="F150" s="10" t="str">
        <f>IF($A150="","",Planif_Grupasa!I150)</f>
        <v/>
      </c>
      <c r="G150" s="10" t="str">
        <f>IF($A150="","",Registro_Contenedores!K150)</f>
        <v/>
      </c>
      <c r="H150" s="9"/>
      <c r="I150" s="9"/>
      <c r="J150" s="9"/>
    </row>
    <row r="151" spans="1:10" x14ac:dyDescent="0.35">
      <c r="A151" s="10" t="str">
        <f>IF(Registro_Contenedores!A151="","",Registro_Contenedores!A151)</f>
        <v/>
      </c>
      <c r="B151" s="10" t="str">
        <f>IF($A151="","",Registro_Contenedores!B151)</f>
        <v/>
      </c>
      <c r="C151" s="10" t="str">
        <f>IF($A151="","",Registro_Contenedores!E151)</f>
        <v/>
      </c>
      <c r="D151" s="10" t="str">
        <f>IF($A151="","",Registro_Contenedores!H151)</f>
        <v/>
      </c>
      <c r="E151" s="10" t="str">
        <f>IF($A151="","",Planif_Grupasa!G151)</f>
        <v/>
      </c>
      <c r="F151" s="10" t="str">
        <f>IF($A151="","",Planif_Grupasa!I151)</f>
        <v/>
      </c>
      <c r="G151" s="10" t="str">
        <f>IF($A151="","",Registro_Contenedores!K151)</f>
        <v/>
      </c>
      <c r="H151" s="9"/>
      <c r="I151" s="9"/>
      <c r="J151" s="9"/>
    </row>
    <row r="152" spans="1:10" x14ac:dyDescent="0.35">
      <c r="A152" s="10" t="str">
        <f>IF(Registro_Contenedores!A152="","",Registro_Contenedores!A152)</f>
        <v/>
      </c>
      <c r="B152" s="10" t="str">
        <f>IF($A152="","",Registro_Contenedores!B152)</f>
        <v/>
      </c>
      <c r="C152" s="10" t="str">
        <f>IF($A152="","",Registro_Contenedores!E152)</f>
        <v/>
      </c>
      <c r="D152" s="10" t="str">
        <f>IF($A152="","",Registro_Contenedores!H152)</f>
        <v/>
      </c>
      <c r="E152" s="10" t="str">
        <f>IF($A152="","",Planif_Grupasa!G152)</f>
        <v/>
      </c>
      <c r="F152" s="10" t="str">
        <f>IF($A152="","",Planif_Grupasa!I152)</f>
        <v/>
      </c>
      <c r="G152" s="10" t="str">
        <f>IF($A152="","",Registro_Contenedores!K152)</f>
        <v/>
      </c>
      <c r="H152" s="9"/>
      <c r="I152" s="9"/>
      <c r="J152" s="9"/>
    </row>
    <row r="153" spans="1:10" x14ac:dyDescent="0.35">
      <c r="A153" s="10" t="str">
        <f>IF(Registro_Contenedores!A153="","",Registro_Contenedores!A153)</f>
        <v/>
      </c>
      <c r="B153" s="10" t="str">
        <f>IF($A153="","",Registro_Contenedores!B153)</f>
        <v/>
      </c>
      <c r="C153" s="10" t="str">
        <f>IF($A153="","",Registro_Contenedores!E153)</f>
        <v/>
      </c>
      <c r="D153" s="10" t="str">
        <f>IF($A153="","",Registro_Contenedores!H153)</f>
        <v/>
      </c>
      <c r="E153" s="10" t="str">
        <f>IF($A153="","",Planif_Grupasa!G153)</f>
        <v/>
      </c>
      <c r="F153" s="10" t="str">
        <f>IF($A153="","",Planif_Grupasa!I153)</f>
        <v/>
      </c>
      <c r="G153" s="10" t="str">
        <f>IF($A153="","",Registro_Contenedores!K153)</f>
        <v/>
      </c>
      <c r="H153" s="9"/>
      <c r="I153" s="9"/>
      <c r="J153" s="9"/>
    </row>
    <row r="154" spans="1:10" x14ac:dyDescent="0.35">
      <c r="A154" s="10" t="str">
        <f>IF(Registro_Contenedores!A154="","",Registro_Contenedores!A154)</f>
        <v/>
      </c>
      <c r="B154" s="10" t="str">
        <f>IF($A154="","",Registro_Contenedores!B154)</f>
        <v/>
      </c>
      <c r="C154" s="10" t="str">
        <f>IF($A154="","",Registro_Contenedores!E154)</f>
        <v/>
      </c>
      <c r="D154" s="10" t="str">
        <f>IF($A154="","",Registro_Contenedores!H154)</f>
        <v/>
      </c>
      <c r="E154" s="10" t="str">
        <f>IF($A154="","",Planif_Grupasa!G154)</f>
        <v/>
      </c>
      <c r="F154" s="10" t="str">
        <f>IF($A154="","",Planif_Grupasa!I154)</f>
        <v/>
      </c>
      <c r="G154" s="10" t="str">
        <f>IF($A154="","",Registro_Contenedores!K154)</f>
        <v/>
      </c>
      <c r="H154" s="9"/>
      <c r="I154" s="9"/>
      <c r="J154" s="9"/>
    </row>
    <row r="155" spans="1:10" x14ac:dyDescent="0.35">
      <c r="A155" s="10" t="str">
        <f>IF(Registro_Contenedores!A155="","",Registro_Contenedores!A155)</f>
        <v/>
      </c>
      <c r="B155" s="10" t="str">
        <f>IF($A155="","",Registro_Contenedores!B155)</f>
        <v/>
      </c>
      <c r="C155" s="10" t="str">
        <f>IF($A155="","",Registro_Contenedores!E155)</f>
        <v/>
      </c>
      <c r="D155" s="10" t="str">
        <f>IF($A155="","",Registro_Contenedores!H155)</f>
        <v/>
      </c>
      <c r="E155" s="10" t="str">
        <f>IF($A155="","",Planif_Grupasa!G155)</f>
        <v/>
      </c>
      <c r="F155" s="10" t="str">
        <f>IF($A155="","",Planif_Grupasa!I155)</f>
        <v/>
      </c>
      <c r="G155" s="10" t="str">
        <f>IF($A155="","",Registro_Contenedores!K155)</f>
        <v/>
      </c>
      <c r="H155" s="9"/>
      <c r="I155" s="9"/>
      <c r="J155" s="9"/>
    </row>
    <row r="156" spans="1:10" x14ac:dyDescent="0.35">
      <c r="A156" s="10" t="str">
        <f>IF(Registro_Contenedores!A156="","",Registro_Contenedores!A156)</f>
        <v/>
      </c>
      <c r="B156" s="10" t="str">
        <f>IF($A156="","",Registro_Contenedores!B156)</f>
        <v/>
      </c>
      <c r="C156" s="10" t="str">
        <f>IF($A156="","",Registro_Contenedores!E156)</f>
        <v/>
      </c>
      <c r="D156" s="10" t="str">
        <f>IF($A156="","",Registro_Contenedores!H156)</f>
        <v/>
      </c>
      <c r="E156" s="10" t="str">
        <f>IF($A156="","",Planif_Grupasa!G156)</f>
        <v/>
      </c>
      <c r="F156" s="10" t="str">
        <f>IF($A156="","",Planif_Grupasa!I156)</f>
        <v/>
      </c>
      <c r="G156" s="10" t="str">
        <f>IF($A156="","",Registro_Contenedores!K156)</f>
        <v/>
      </c>
      <c r="H156" s="9"/>
      <c r="I156" s="9"/>
      <c r="J156" s="9"/>
    </row>
    <row r="157" spans="1:10" x14ac:dyDescent="0.35">
      <c r="A157" s="10" t="str">
        <f>IF(Registro_Contenedores!A157="","",Registro_Contenedores!A157)</f>
        <v/>
      </c>
      <c r="B157" s="10" t="str">
        <f>IF($A157="","",Registro_Contenedores!B157)</f>
        <v/>
      </c>
      <c r="C157" s="10" t="str">
        <f>IF($A157="","",Registro_Contenedores!E157)</f>
        <v/>
      </c>
      <c r="D157" s="10" t="str">
        <f>IF($A157="","",Registro_Contenedores!H157)</f>
        <v/>
      </c>
      <c r="E157" s="10" t="str">
        <f>IF($A157="","",Planif_Grupasa!G157)</f>
        <v/>
      </c>
      <c r="F157" s="10" t="str">
        <f>IF($A157="","",Planif_Grupasa!I157)</f>
        <v/>
      </c>
      <c r="G157" s="10" t="str">
        <f>IF($A157="","",Registro_Contenedores!K157)</f>
        <v/>
      </c>
      <c r="H157" s="9"/>
      <c r="I157" s="9"/>
      <c r="J157" s="9"/>
    </row>
    <row r="158" spans="1:10" x14ac:dyDescent="0.35">
      <c r="A158" s="10" t="str">
        <f>IF(Registro_Contenedores!A158="","",Registro_Contenedores!A158)</f>
        <v/>
      </c>
      <c r="B158" s="10" t="str">
        <f>IF($A158="","",Registro_Contenedores!B158)</f>
        <v/>
      </c>
      <c r="C158" s="10" t="str">
        <f>IF($A158="","",Registro_Contenedores!E158)</f>
        <v/>
      </c>
      <c r="D158" s="10" t="str">
        <f>IF($A158="","",Registro_Contenedores!H158)</f>
        <v/>
      </c>
      <c r="E158" s="10" t="str">
        <f>IF($A158="","",Planif_Grupasa!G158)</f>
        <v/>
      </c>
      <c r="F158" s="10" t="str">
        <f>IF($A158="","",Planif_Grupasa!I158)</f>
        <v/>
      </c>
      <c r="G158" s="10" t="str">
        <f>IF($A158="","",Registro_Contenedores!K158)</f>
        <v/>
      </c>
      <c r="H158" s="9"/>
      <c r="I158" s="9"/>
      <c r="J158" s="9"/>
    </row>
    <row r="159" spans="1:10" x14ac:dyDescent="0.35">
      <c r="A159" s="10" t="str">
        <f>IF(Registro_Contenedores!A159="","",Registro_Contenedores!A159)</f>
        <v/>
      </c>
      <c r="B159" s="10" t="str">
        <f>IF($A159="","",Registro_Contenedores!B159)</f>
        <v/>
      </c>
      <c r="C159" s="10" t="str">
        <f>IF($A159="","",Registro_Contenedores!E159)</f>
        <v/>
      </c>
      <c r="D159" s="10" t="str">
        <f>IF($A159="","",Registro_Contenedores!H159)</f>
        <v/>
      </c>
      <c r="E159" s="10" t="str">
        <f>IF($A159="","",Planif_Grupasa!G159)</f>
        <v/>
      </c>
      <c r="F159" s="10" t="str">
        <f>IF($A159="","",Planif_Grupasa!I159)</f>
        <v/>
      </c>
      <c r="G159" s="10" t="str">
        <f>IF($A159="","",Registro_Contenedores!K159)</f>
        <v/>
      </c>
      <c r="H159" s="9"/>
      <c r="I159" s="9"/>
      <c r="J159" s="9"/>
    </row>
    <row r="160" spans="1:10" x14ac:dyDescent="0.35">
      <c r="A160" s="10" t="str">
        <f>IF(Registro_Contenedores!A160="","",Registro_Contenedores!A160)</f>
        <v/>
      </c>
      <c r="B160" s="10" t="str">
        <f>IF($A160="","",Registro_Contenedores!B160)</f>
        <v/>
      </c>
      <c r="C160" s="10" t="str">
        <f>IF($A160="","",Registro_Contenedores!E160)</f>
        <v/>
      </c>
      <c r="D160" s="10" t="str">
        <f>IF($A160="","",Registro_Contenedores!H160)</f>
        <v/>
      </c>
      <c r="E160" s="10" t="str">
        <f>IF($A160="","",Planif_Grupasa!G160)</f>
        <v/>
      </c>
      <c r="F160" s="10" t="str">
        <f>IF($A160="","",Planif_Grupasa!I160)</f>
        <v/>
      </c>
      <c r="G160" s="10" t="str">
        <f>IF($A160="","",Registro_Contenedores!K160)</f>
        <v/>
      </c>
      <c r="H160" s="9"/>
      <c r="I160" s="9"/>
      <c r="J160" s="9"/>
    </row>
    <row r="161" spans="1:10" x14ac:dyDescent="0.35">
      <c r="A161" s="10" t="str">
        <f>IF(Registro_Contenedores!A161="","",Registro_Contenedores!A161)</f>
        <v/>
      </c>
      <c r="B161" s="10" t="str">
        <f>IF($A161="","",Registro_Contenedores!B161)</f>
        <v/>
      </c>
      <c r="C161" s="10" t="str">
        <f>IF($A161="","",Registro_Contenedores!E161)</f>
        <v/>
      </c>
      <c r="D161" s="10" t="str">
        <f>IF($A161="","",Registro_Contenedores!H161)</f>
        <v/>
      </c>
      <c r="E161" s="10" t="str">
        <f>IF($A161="","",Planif_Grupasa!G161)</f>
        <v/>
      </c>
      <c r="F161" s="10" t="str">
        <f>IF($A161="","",Planif_Grupasa!I161)</f>
        <v/>
      </c>
      <c r="G161" s="10" t="str">
        <f>IF($A161="","",Registro_Contenedores!K161)</f>
        <v/>
      </c>
      <c r="H161" s="9"/>
      <c r="I161" s="9"/>
      <c r="J161" s="9"/>
    </row>
    <row r="162" spans="1:10" x14ac:dyDescent="0.35">
      <c r="A162" s="10" t="str">
        <f>IF(Registro_Contenedores!A162="","",Registro_Contenedores!A162)</f>
        <v/>
      </c>
      <c r="B162" s="10" t="str">
        <f>IF($A162="","",Registro_Contenedores!B162)</f>
        <v/>
      </c>
      <c r="C162" s="10" t="str">
        <f>IF($A162="","",Registro_Contenedores!E162)</f>
        <v/>
      </c>
      <c r="D162" s="10" t="str">
        <f>IF($A162="","",Registro_Contenedores!H162)</f>
        <v/>
      </c>
      <c r="E162" s="10" t="str">
        <f>IF($A162="","",Planif_Grupasa!G162)</f>
        <v/>
      </c>
      <c r="F162" s="10" t="str">
        <f>IF($A162="","",Planif_Grupasa!I162)</f>
        <v/>
      </c>
      <c r="G162" s="10" t="str">
        <f>IF($A162="","",Registro_Contenedores!K162)</f>
        <v/>
      </c>
      <c r="H162" s="9"/>
      <c r="I162" s="9"/>
      <c r="J162" s="9"/>
    </row>
    <row r="163" spans="1:10" x14ac:dyDescent="0.35">
      <c r="A163" s="10" t="str">
        <f>IF(Registro_Contenedores!A163="","",Registro_Contenedores!A163)</f>
        <v/>
      </c>
      <c r="B163" s="10" t="str">
        <f>IF($A163="","",Registro_Contenedores!B163)</f>
        <v/>
      </c>
      <c r="C163" s="10" t="str">
        <f>IF($A163="","",Registro_Contenedores!E163)</f>
        <v/>
      </c>
      <c r="D163" s="10" t="str">
        <f>IF($A163="","",Registro_Contenedores!H163)</f>
        <v/>
      </c>
      <c r="E163" s="10" t="str">
        <f>IF($A163="","",Planif_Grupasa!G163)</f>
        <v/>
      </c>
      <c r="F163" s="10" t="str">
        <f>IF($A163="","",Planif_Grupasa!I163)</f>
        <v/>
      </c>
      <c r="G163" s="10" t="str">
        <f>IF($A163="","",Registro_Contenedores!K163)</f>
        <v/>
      </c>
      <c r="H163" s="9"/>
      <c r="I163" s="9"/>
      <c r="J163" s="9"/>
    </row>
    <row r="164" spans="1:10" x14ac:dyDescent="0.35">
      <c r="A164" s="10" t="str">
        <f>IF(Registro_Contenedores!A164="","",Registro_Contenedores!A164)</f>
        <v/>
      </c>
      <c r="B164" s="10" t="str">
        <f>IF($A164="","",Registro_Contenedores!B164)</f>
        <v/>
      </c>
      <c r="C164" s="10" t="str">
        <f>IF($A164="","",Registro_Contenedores!E164)</f>
        <v/>
      </c>
      <c r="D164" s="10" t="str">
        <f>IF($A164="","",Registro_Contenedores!H164)</f>
        <v/>
      </c>
      <c r="E164" s="10" t="str">
        <f>IF($A164="","",Planif_Grupasa!G164)</f>
        <v/>
      </c>
      <c r="F164" s="10" t="str">
        <f>IF($A164="","",Planif_Grupasa!I164)</f>
        <v/>
      </c>
      <c r="G164" s="10" t="str">
        <f>IF($A164="","",Registro_Contenedores!K164)</f>
        <v/>
      </c>
      <c r="H164" s="9"/>
      <c r="I164" s="9"/>
      <c r="J164" s="9"/>
    </row>
    <row r="165" spans="1:10" x14ac:dyDescent="0.35">
      <c r="A165" s="10" t="str">
        <f>IF(Registro_Contenedores!A165="","",Registro_Contenedores!A165)</f>
        <v/>
      </c>
      <c r="B165" s="10" t="str">
        <f>IF($A165="","",Registro_Contenedores!B165)</f>
        <v/>
      </c>
      <c r="C165" s="10" t="str">
        <f>IF($A165="","",Registro_Contenedores!E165)</f>
        <v/>
      </c>
      <c r="D165" s="10" t="str">
        <f>IF($A165="","",Registro_Contenedores!H165)</f>
        <v/>
      </c>
      <c r="E165" s="10" t="str">
        <f>IF($A165="","",Planif_Grupasa!G165)</f>
        <v/>
      </c>
      <c r="F165" s="10" t="str">
        <f>IF($A165="","",Planif_Grupasa!I165)</f>
        <v/>
      </c>
      <c r="G165" s="10" t="str">
        <f>IF($A165="","",Registro_Contenedores!K165)</f>
        <v/>
      </c>
      <c r="H165" s="9"/>
      <c r="I165" s="9"/>
      <c r="J165" s="9"/>
    </row>
    <row r="166" spans="1:10" x14ac:dyDescent="0.35">
      <c r="A166" s="10" t="str">
        <f>IF(Registro_Contenedores!A166="","",Registro_Contenedores!A166)</f>
        <v/>
      </c>
      <c r="B166" s="10" t="str">
        <f>IF($A166="","",Registro_Contenedores!B166)</f>
        <v/>
      </c>
      <c r="C166" s="10" t="str">
        <f>IF($A166="","",Registro_Contenedores!E166)</f>
        <v/>
      </c>
      <c r="D166" s="10" t="str">
        <f>IF($A166="","",Registro_Contenedores!H166)</f>
        <v/>
      </c>
      <c r="E166" s="10" t="str">
        <f>IF($A166="","",Planif_Grupasa!G166)</f>
        <v/>
      </c>
      <c r="F166" s="10" t="str">
        <f>IF($A166="","",Planif_Grupasa!I166)</f>
        <v/>
      </c>
      <c r="G166" s="10" t="str">
        <f>IF($A166="","",Registro_Contenedores!K166)</f>
        <v/>
      </c>
      <c r="H166" s="9"/>
      <c r="I166" s="9"/>
      <c r="J166" s="9"/>
    </row>
    <row r="167" spans="1:10" x14ac:dyDescent="0.35">
      <c r="A167" s="10" t="str">
        <f>IF(Registro_Contenedores!A167="","",Registro_Contenedores!A167)</f>
        <v/>
      </c>
      <c r="B167" s="10" t="str">
        <f>IF($A167="","",Registro_Contenedores!B167)</f>
        <v/>
      </c>
      <c r="C167" s="10" t="str">
        <f>IF($A167="","",Registro_Contenedores!E167)</f>
        <v/>
      </c>
      <c r="D167" s="10" t="str">
        <f>IF($A167="","",Registro_Contenedores!H167)</f>
        <v/>
      </c>
      <c r="E167" s="10" t="str">
        <f>IF($A167="","",Planif_Grupasa!G167)</f>
        <v/>
      </c>
      <c r="F167" s="10" t="str">
        <f>IF($A167="","",Planif_Grupasa!I167)</f>
        <v/>
      </c>
      <c r="G167" s="10" t="str">
        <f>IF($A167="","",Registro_Contenedores!K167)</f>
        <v/>
      </c>
      <c r="H167" s="9"/>
      <c r="I167" s="9"/>
      <c r="J167" s="9"/>
    </row>
    <row r="168" spans="1:10" x14ac:dyDescent="0.35">
      <c r="A168" s="10" t="str">
        <f>IF(Registro_Contenedores!A168="","",Registro_Contenedores!A168)</f>
        <v/>
      </c>
      <c r="B168" s="10" t="str">
        <f>IF($A168="","",Registro_Contenedores!B168)</f>
        <v/>
      </c>
      <c r="C168" s="10" t="str">
        <f>IF($A168="","",Registro_Contenedores!E168)</f>
        <v/>
      </c>
      <c r="D168" s="10" t="str">
        <f>IF($A168="","",Registro_Contenedores!H168)</f>
        <v/>
      </c>
      <c r="E168" s="10" t="str">
        <f>IF($A168="","",Planif_Grupasa!G168)</f>
        <v/>
      </c>
      <c r="F168" s="10" t="str">
        <f>IF($A168="","",Planif_Grupasa!I168)</f>
        <v/>
      </c>
      <c r="G168" s="10" t="str">
        <f>IF($A168="","",Registro_Contenedores!K168)</f>
        <v/>
      </c>
      <c r="H168" s="9"/>
      <c r="I168" s="9"/>
      <c r="J168" s="9"/>
    </row>
    <row r="169" spans="1:10" x14ac:dyDescent="0.35">
      <c r="A169" s="10" t="str">
        <f>IF(Registro_Contenedores!A169="","",Registro_Contenedores!A169)</f>
        <v/>
      </c>
      <c r="B169" s="10" t="str">
        <f>IF($A169="","",Registro_Contenedores!B169)</f>
        <v/>
      </c>
      <c r="C169" s="10" t="str">
        <f>IF($A169="","",Registro_Contenedores!E169)</f>
        <v/>
      </c>
      <c r="D169" s="10" t="str">
        <f>IF($A169="","",Registro_Contenedores!H169)</f>
        <v/>
      </c>
      <c r="E169" s="10" t="str">
        <f>IF($A169="","",Planif_Grupasa!G169)</f>
        <v/>
      </c>
      <c r="F169" s="10" t="str">
        <f>IF($A169="","",Planif_Grupasa!I169)</f>
        <v/>
      </c>
      <c r="G169" s="10" t="str">
        <f>IF($A169="","",Registro_Contenedores!K169)</f>
        <v/>
      </c>
      <c r="H169" s="9"/>
      <c r="I169" s="9"/>
      <c r="J169" s="9"/>
    </row>
    <row r="170" spans="1:10" x14ac:dyDescent="0.35">
      <c r="A170" s="10" t="str">
        <f>IF(Registro_Contenedores!A170="","",Registro_Contenedores!A170)</f>
        <v/>
      </c>
      <c r="B170" s="10" t="str">
        <f>IF($A170="","",Registro_Contenedores!B170)</f>
        <v/>
      </c>
      <c r="C170" s="10" t="str">
        <f>IF($A170="","",Registro_Contenedores!E170)</f>
        <v/>
      </c>
      <c r="D170" s="10" t="str">
        <f>IF($A170="","",Registro_Contenedores!H170)</f>
        <v/>
      </c>
      <c r="E170" s="10" t="str">
        <f>IF($A170="","",Planif_Grupasa!G170)</f>
        <v/>
      </c>
      <c r="F170" s="10" t="str">
        <f>IF($A170="","",Planif_Grupasa!I170)</f>
        <v/>
      </c>
      <c r="G170" s="10" t="str">
        <f>IF($A170="","",Registro_Contenedores!K170)</f>
        <v/>
      </c>
      <c r="H170" s="9"/>
      <c r="I170" s="9"/>
      <c r="J170" s="9"/>
    </row>
    <row r="171" spans="1:10" x14ac:dyDescent="0.35">
      <c r="A171" s="10" t="str">
        <f>IF(Registro_Contenedores!A171="","",Registro_Contenedores!A171)</f>
        <v/>
      </c>
      <c r="B171" s="10" t="str">
        <f>IF($A171="","",Registro_Contenedores!B171)</f>
        <v/>
      </c>
      <c r="C171" s="10" t="str">
        <f>IF($A171="","",Registro_Contenedores!E171)</f>
        <v/>
      </c>
      <c r="D171" s="10" t="str">
        <f>IF($A171="","",Registro_Contenedores!H171)</f>
        <v/>
      </c>
      <c r="E171" s="10" t="str">
        <f>IF($A171="","",Planif_Grupasa!G171)</f>
        <v/>
      </c>
      <c r="F171" s="10" t="str">
        <f>IF($A171="","",Planif_Grupasa!I171)</f>
        <v/>
      </c>
      <c r="G171" s="10" t="str">
        <f>IF($A171="","",Registro_Contenedores!K171)</f>
        <v/>
      </c>
      <c r="H171" s="9"/>
      <c r="I171" s="9"/>
      <c r="J171" s="9"/>
    </row>
    <row r="172" spans="1:10" x14ac:dyDescent="0.35">
      <c r="A172" s="10" t="str">
        <f>IF(Registro_Contenedores!A172="","",Registro_Contenedores!A172)</f>
        <v/>
      </c>
      <c r="B172" s="10" t="str">
        <f>IF($A172="","",Registro_Contenedores!B172)</f>
        <v/>
      </c>
      <c r="C172" s="10" t="str">
        <f>IF($A172="","",Registro_Contenedores!E172)</f>
        <v/>
      </c>
      <c r="D172" s="10" t="str">
        <f>IF($A172="","",Registro_Contenedores!H172)</f>
        <v/>
      </c>
      <c r="E172" s="10" t="str">
        <f>IF($A172="","",Planif_Grupasa!G172)</f>
        <v/>
      </c>
      <c r="F172" s="10" t="str">
        <f>IF($A172="","",Planif_Grupasa!I172)</f>
        <v/>
      </c>
      <c r="G172" s="10" t="str">
        <f>IF($A172="","",Registro_Contenedores!K172)</f>
        <v/>
      </c>
      <c r="H172" s="9"/>
      <c r="I172" s="9"/>
      <c r="J172" s="9"/>
    </row>
    <row r="173" spans="1:10" x14ac:dyDescent="0.35">
      <c r="A173" s="10" t="str">
        <f>IF(Registro_Contenedores!A173="","",Registro_Contenedores!A173)</f>
        <v/>
      </c>
      <c r="B173" s="10" t="str">
        <f>IF($A173="","",Registro_Contenedores!B173)</f>
        <v/>
      </c>
      <c r="C173" s="10" t="str">
        <f>IF($A173="","",Registro_Contenedores!E173)</f>
        <v/>
      </c>
      <c r="D173" s="10" t="str">
        <f>IF($A173="","",Registro_Contenedores!H173)</f>
        <v/>
      </c>
      <c r="E173" s="10" t="str">
        <f>IF($A173="","",Planif_Grupasa!G173)</f>
        <v/>
      </c>
      <c r="F173" s="10" t="str">
        <f>IF($A173="","",Planif_Grupasa!I173)</f>
        <v/>
      </c>
      <c r="G173" s="10" t="str">
        <f>IF($A173="","",Registro_Contenedores!K173)</f>
        <v/>
      </c>
      <c r="H173" s="9"/>
      <c r="I173" s="9"/>
      <c r="J173" s="9"/>
    </row>
    <row r="174" spans="1:10" x14ac:dyDescent="0.35">
      <c r="A174" s="10" t="str">
        <f>IF(Registro_Contenedores!A174="","",Registro_Contenedores!A174)</f>
        <v/>
      </c>
      <c r="B174" s="10" t="str">
        <f>IF($A174="","",Registro_Contenedores!B174)</f>
        <v/>
      </c>
      <c r="C174" s="10" t="str">
        <f>IF($A174="","",Registro_Contenedores!E174)</f>
        <v/>
      </c>
      <c r="D174" s="10" t="str">
        <f>IF($A174="","",Registro_Contenedores!H174)</f>
        <v/>
      </c>
      <c r="E174" s="10" t="str">
        <f>IF($A174="","",Planif_Grupasa!G174)</f>
        <v/>
      </c>
      <c r="F174" s="10" t="str">
        <f>IF($A174="","",Planif_Grupasa!I174)</f>
        <v/>
      </c>
      <c r="G174" s="10" t="str">
        <f>IF($A174="","",Registro_Contenedores!K174)</f>
        <v/>
      </c>
      <c r="H174" s="9"/>
      <c r="I174" s="9"/>
      <c r="J174" s="9"/>
    </row>
    <row r="175" spans="1:10" x14ac:dyDescent="0.35">
      <c r="A175" s="10" t="str">
        <f>IF(Registro_Contenedores!A175="","",Registro_Contenedores!A175)</f>
        <v/>
      </c>
      <c r="B175" s="10" t="str">
        <f>IF($A175="","",Registro_Contenedores!B175)</f>
        <v/>
      </c>
      <c r="C175" s="10" t="str">
        <f>IF($A175="","",Registro_Contenedores!E175)</f>
        <v/>
      </c>
      <c r="D175" s="10" t="str">
        <f>IF($A175="","",Registro_Contenedores!H175)</f>
        <v/>
      </c>
      <c r="E175" s="10" t="str">
        <f>IF($A175="","",Planif_Grupasa!G175)</f>
        <v/>
      </c>
      <c r="F175" s="10" t="str">
        <f>IF($A175="","",Planif_Grupasa!I175)</f>
        <v/>
      </c>
      <c r="G175" s="10" t="str">
        <f>IF($A175="","",Registro_Contenedores!K175)</f>
        <v/>
      </c>
      <c r="H175" s="9"/>
      <c r="I175" s="9"/>
      <c r="J175" s="9"/>
    </row>
    <row r="176" spans="1:10" x14ac:dyDescent="0.35">
      <c r="A176" s="10" t="str">
        <f>IF(Registro_Contenedores!A176="","",Registro_Contenedores!A176)</f>
        <v/>
      </c>
      <c r="B176" s="10" t="str">
        <f>IF($A176="","",Registro_Contenedores!B176)</f>
        <v/>
      </c>
      <c r="C176" s="10" t="str">
        <f>IF($A176="","",Registro_Contenedores!E176)</f>
        <v/>
      </c>
      <c r="D176" s="10" t="str">
        <f>IF($A176="","",Registro_Contenedores!H176)</f>
        <v/>
      </c>
      <c r="E176" s="10" t="str">
        <f>IF($A176="","",Planif_Grupasa!G176)</f>
        <v/>
      </c>
      <c r="F176" s="10" t="str">
        <f>IF($A176="","",Planif_Grupasa!I176)</f>
        <v/>
      </c>
      <c r="G176" s="10" t="str">
        <f>IF($A176="","",Registro_Contenedores!K176)</f>
        <v/>
      </c>
      <c r="H176" s="9"/>
      <c r="I176" s="9"/>
      <c r="J176" s="9"/>
    </row>
    <row r="177" spans="1:10" x14ac:dyDescent="0.35">
      <c r="A177" s="10" t="str">
        <f>IF(Registro_Contenedores!A177="","",Registro_Contenedores!A177)</f>
        <v/>
      </c>
      <c r="B177" s="10" t="str">
        <f>IF($A177="","",Registro_Contenedores!B177)</f>
        <v/>
      </c>
      <c r="C177" s="10" t="str">
        <f>IF($A177="","",Registro_Contenedores!E177)</f>
        <v/>
      </c>
      <c r="D177" s="10" t="str">
        <f>IF($A177="","",Registro_Contenedores!H177)</f>
        <v/>
      </c>
      <c r="E177" s="10" t="str">
        <f>IF($A177="","",Planif_Grupasa!G177)</f>
        <v/>
      </c>
      <c r="F177" s="10" t="str">
        <f>IF($A177="","",Planif_Grupasa!I177)</f>
        <v/>
      </c>
      <c r="G177" s="10" t="str">
        <f>IF($A177="","",Registro_Contenedores!K177)</f>
        <v/>
      </c>
      <c r="H177" s="9"/>
      <c r="I177" s="9"/>
      <c r="J177" s="9"/>
    </row>
    <row r="178" spans="1:10" x14ac:dyDescent="0.35">
      <c r="A178" s="10" t="str">
        <f>IF(Registro_Contenedores!A178="","",Registro_Contenedores!A178)</f>
        <v/>
      </c>
      <c r="B178" s="10" t="str">
        <f>IF($A178="","",Registro_Contenedores!B178)</f>
        <v/>
      </c>
      <c r="C178" s="10" t="str">
        <f>IF($A178="","",Registro_Contenedores!E178)</f>
        <v/>
      </c>
      <c r="D178" s="10" t="str">
        <f>IF($A178="","",Registro_Contenedores!H178)</f>
        <v/>
      </c>
      <c r="E178" s="10" t="str">
        <f>IF($A178="","",Planif_Grupasa!G178)</f>
        <v/>
      </c>
      <c r="F178" s="10" t="str">
        <f>IF($A178="","",Planif_Grupasa!I178)</f>
        <v/>
      </c>
      <c r="G178" s="10" t="str">
        <f>IF($A178="","",Registro_Contenedores!K178)</f>
        <v/>
      </c>
      <c r="H178" s="9"/>
      <c r="I178" s="9"/>
      <c r="J178" s="9"/>
    </row>
    <row r="179" spans="1:10" x14ac:dyDescent="0.35">
      <c r="A179" s="10" t="str">
        <f>IF(Registro_Contenedores!A179="","",Registro_Contenedores!A179)</f>
        <v/>
      </c>
      <c r="B179" s="10" t="str">
        <f>IF($A179="","",Registro_Contenedores!B179)</f>
        <v/>
      </c>
      <c r="C179" s="10" t="str">
        <f>IF($A179="","",Registro_Contenedores!E179)</f>
        <v/>
      </c>
      <c r="D179" s="10" t="str">
        <f>IF($A179="","",Registro_Contenedores!H179)</f>
        <v/>
      </c>
      <c r="E179" s="10" t="str">
        <f>IF($A179="","",Planif_Grupasa!G179)</f>
        <v/>
      </c>
      <c r="F179" s="10" t="str">
        <f>IF($A179="","",Planif_Grupasa!I179)</f>
        <v/>
      </c>
      <c r="G179" s="10" t="str">
        <f>IF($A179="","",Registro_Contenedores!K179)</f>
        <v/>
      </c>
      <c r="H179" s="9"/>
      <c r="I179" s="9"/>
      <c r="J179" s="9"/>
    </row>
    <row r="180" spans="1:10" x14ac:dyDescent="0.35">
      <c r="A180" s="10" t="str">
        <f>IF(Registro_Contenedores!A180="","",Registro_Contenedores!A180)</f>
        <v/>
      </c>
      <c r="B180" s="10" t="str">
        <f>IF($A180="","",Registro_Contenedores!B180)</f>
        <v/>
      </c>
      <c r="C180" s="10" t="str">
        <f>IF($A180="","",Registro_Contenedores!E180)</f>
        <v/>
      </c>
      <c r="D180" s="10" t="str">
        <f>IF($A180="","",Registro_Contenedores!H180)</f>
        <v/>
      </c>
      <c r="E180" s="10" t="str">
        <f>IF($A180="","",Planif_Grupasa!G180)</f>
        <v/>
      </c>
      <c r="F180" s="10" t="str">
        <f>IF($A180="","",Planif_Grupasa!I180)</f>
        <v/>
      </c>
      <c r="G180" s="10" t="str">
        <f>IF($A180="","",Registro_Contenedores!K180)</f>
        <v/>
      </c>
      <c r="H180" s="9"/>
      <c r="I180" s="9"/>
      <c r="J180" s="9"/>
    </row>
    <row r="181" spans="1:10" x14ac:dyDescent="0.35">
      <c r="A181" s="10" t="str">
        <f>IF(Registro_Contenedores!A181="","",Registro_Contenedores!A181)</f>
        <v/>
      </c>
      <c r="B181" s="10" t="str">
        <f>IF($A181="","",Registro_Contenedores!B181)</f>
        <v/>
      </c>
      <c r="C181" s="10" t="str">
        <f>IF($A181="","",Registro_Contenedores!E181)</f>
        <v/>
      </c>
      <c r="D181" s="10" t="str">
        <f>IF($A181="","",Registro_Contenedores!H181)</f>
        <v/>
      </c>
      <c r="E181" s="10" t="str">
        <f>IF($A181="","",Planif_Grupasa!G181)</f>
        <v/>
      </c>
      <c r="F181" s="10" t="str">
        <f>IF($A181="","",Planif_Grupasa!I181)</f>
        <v/>
      </c>
      <c r="G181" s="10" t="str">
        <f>IF($A181="","",Registro_Contenedores!K181)</f>
        <v/>
      </c>
      <c r="H181" s="9"/>
      <c r="I181" s="9"/>
      <c r="J181" s="9"/>
    </row>
    <row r="182" spans="1:10" x14ac:dyDescent="0.35">
      <c r="A182" s="10" t="str">
        <f>IF(Registro_Contenedores!A182="","",Registro_Contenedores!A182)</f>
        <v/>
      </c>
      <c r="B182" s="10" t="str">
        <f>IF($A182="","",Registro_Contenedores!B182)</f>
        <v/>
      </c>
      <c r="C182" s="10" t="str">
        <f>IF($A182="","",Registro_Contenedores!E182)</f>
        <v/>
      </c>
      <c r="D182" s="10" t="str">
        <f>IF($A182="","",Registro_Contenedores!H182)</f>
        <v/>
      </c>
      <c r="E182" s="10" t="str">
        <f>IF($A182="","",Planif_Grupasa!G182)</f>
        <v/>
      </c>
      <c r="F182" s="10" t="str">
        <f>IF($A182="","",Planif_Grupasa!I182)</f>
        <v/>
      </c>
      <c r="G182" s="10" t="str">
        <f>IF($A182="","",Registro_Contenedores!K182)</f>
        <v/>
      </c>
      <c r="H182" s="9"/>
      <c r="I182" s="9"/>
      <c r="J182" s="9"/>
    </row>
    <row r="183" spans="1:10" x14ac:dyDescent="0.35">
      <c r="A183" s="10" t="str">
        <f>IF(Registro_Contenedores!A183="","",Registro_Contenedores!A183)</f>
        <v/>
      </c>
      <c r="B183" s="10" t="str">
        <f>IF($A183="","",Registro_Contenedores!B183)</f>
        <v/>
      </c>
      <c r="C183" s="10" t="str">
        <f>IF($A183="","",Registro_Contenedores!E183)</f>
        <v/>
      </c>
      <c r="D183" s="10" t="str">
        <f>IF($A183="","",Registro_Contenedores!H183)</f>
        <v/>
      </c>
      <c r="E183" s="10" t="str">
        <f>IF($A183="","",Planif_Grupasa!G183)</f>
        <v/>
      </c>
      <c r="F183" s="10" t="str">
        <f>IF($A183="","",Planif_Grupasa!I183)</f>
        <v/>
      </c>
      <c r="G183" s="10" t="str">
        <f>IF($A183="","",Registro_Contenedores!K183)</f>
        <v/>
      </c>
      <c r="H183" s="9"/>
      <c r="I183" s="9"/>
      <c r="J183" s="9"/>
    </row>
    <row r="184" spans="1:10" x14ac:dyDescent="0.35">
      <c r="A184" s="10" t="str">
        <f>IF(Registro_Contenedores!A184="","",Registro_Contenedores!A184)</f>
        <v/>
      </c>
      <c r="B184" s="10" t="str">
        <f>IF($A184="","",Registro_Contenedores!B184)</f>
        <v/>
      </c>
      <c r="C184" s="10" t="str">
        <f>IF($A184="","",Registro_Contenedores!E184)</f>
        <v/>
      </c>
      <c r="D184" s="10" t="str">
        <f>IF($A184="","",Registro_Contenedores!H184)</f>
        <v/>
      </c>
      <c r="E184" s="10" t="str">
        <f>IF($A184="","",Planif_Grupasa!G184)</f>
        <v/>
      </c>
      <c r="F184" s="10" t="str">
        <f>IF($A184="","",Planif_Grupasa!I184)</f>
        <v/>
      </c>
      <c r="G184" s="10" t="str">
        <f>IF($A184="","",Registro_Contenedores!K184)</f>
        <v/>
      </c>
      <c r="H184" s="9"/>
      <c r="I184" s="9"/>
      <c r="J184" s="9"/>
    </row>
    <row r="185" spans="1:10" x14ac:dyDescent="0.35">
      <c r="A185" s="10" t="str">
        <f>IF(Registro_Contenedores!A185="","",Registro_Contenedores!A185)</f>
        <v/>
      </c>
      <c r="B185" s="10" t="str">
        <f>IF($A185="","",Registro_Contenedores!B185)</f>
        <v/>
      </c>
      <c r="C185" s="10" t="str">
        <f>IF($A185="","",Registro_Contenedores!E185)</f>
        <v/>
      </c>
      <c r="D185" s="10" t="str">
        <f>IF($A185="","",Registro_Contenedores!H185)</f>
        <v/>
      </c>
      <c r="E185" s="10" t="str">
        <f>IF($A185="","",Planif_Grupasa!G185)</f>
        <v/>
      </c>
      <c r="F185" s="10" t="str">
        <f>IF($A185="","",Planif_Grupasa!I185)</f>
        <v/>
      </c>
      <c r="G185" s="10" t="str">
        <f>IF($A185="","",Registro_Contenedores!K185)</f>
        <v/>
      </c>
      <c r="H185" s="9"/>
      <c r="I185" s="9"/>
      <c r="J185" s="9"/>
    </row>
    <row r="186" spans="1:10" x14ac:dyDescent="0.35">
      <c r="A186" s="10" t="str">
        <f>IF(Registro_Contenedores!A186="","",Registro_Contenedores!A186)</f>
        <v/>
      </c>
      <c r="B186" s="10" t="str">
        <f>IF($A186="","",Registro_Contenedores!B186)</f>
        <v/>
      </c>
      <c r="C186" s="10" t="str">
        <f>IF($A186="","",Registro_Contenedores!E186)</f>
        <v/>
      </c>
      <c r="D186" s="10" t="str">
        <f>IF($A186="","",Registro_Contenedores!H186)</f>
        <v/>
      </c>
      <c r="E186" s="10" t="str">
        <f>IF($A186="","",Planif_Grupasa!G186)</f>
        <v/>
      </c>
      <c r="F186" s="10" t="str">
        <f>IF($A186="","",Planif_Grupasa!I186)</f>
        <v/>
      </c>
      <c r="G186" s="10" t="str">
        <f>IF($A186="","",Registro_Contenedores!K186)</f>
        <v/>
      </c>
      <c r="H186" s="9"/>
      <c r="I186" s="9"/>
      <c r="J186" s="9"/>
    </row>
    <row r="187" spans="1:10" x14ac:dyDescent="0.35">
      <c r="A187" s="10" t="str">
        <f>IF(Registro_Contenedores!A187="","",Registro_Contenedores!A187)</f>
        <v/>
      </c>
      <c r="B187" s="10" t="str">
        <f>IF($A187="","",Registro_Contenedores!B187)</f>
        <v/>
      </c>
      <c r="C187" s="10" t="str">
        <f>IF($A187="","",Registro_Contenedores!E187)</f>
        <v/>
      </c>
      <c r="D187" s="10" t="str">
        <f>IF($A187="","",Registro_Contenedores!H187)</f>
        <v/>
      </c>
      <c r="E187" s="10" t="str">
        <f>IF($A187="","",Planif_Grupasa!G187)</f>
        <v/>
      </c>
      <c r="F187" s="10" t="str">
        <f>IF($A187="","",Planif_Grupasa!I187)</f>
        <v/>
      </c>
      <c r="G187" s="10" t="str">
        <f>IF($A187="","",Registro_Contenedores!K187)</f>
        <v/>
      </c>
      <c r="H187" s="9"/>
      <c r="I187" s="9"/>
      <c r="J187" s="9"/>
    </row>
    <row r="188" spans="1:10" x14ac:dyDescent="0.35">
      <c r="A188" s="10" t="str">
        <f>IF(Registro_Contenedores!A188="","",Registro_Contenedores!A188)</f>
        <v/>
      </c>
      <c r="B188" s="10" t="str">
        <f>IF($A188="","",Registro_Contenedores!B188)</f>
        <v/>
      </c>
      <c r="C188" s="10" t="str">
        <f>IF($A188="","",Registro_Contenedores!E188)</f>
        <v/>
      </c>
      <c r="D188" s="10" t="str">
        <f>IF($A188="","",Registro_Contenedores!H188)</f>
        <v/>
      </c>
      <c r="E188" s="10" t="str">
        <f>IF($A188="","",Planif_Grupasa!G188)</f>
        <v/>
      </c>
      <c r="F188" s="10" t="str">
        <f>IF($A188="","",Planif_Grupasa!I188)</f>
        <v/>
      </c>
      <c r="G188" s="10" t="str">
        <f>IF($A188="","",Registro_Contenedores!K188)</f>
        <v/>
      </c>
      <c r="H188" s="9"/>
      <c r="I188" s="9"/>
      <c r="J188" s="9"/>
    </row>
    <row r="189" spans="1:10" x14ac:dyDescent="0.35">
      <c r="A189" s="10" t="str">
        <f>IF(Registro_Contenedores!A189="","",Registro_Contenedores!A189)</f>
        <v/>
      </c>
      <c r="B189" s="10" t="str">
        <f>IF($A189="","",Registro_Contenedores!B189)</f>
        <v/>
      </c>
      <c r="C189" s="10" t="str">
        <f>IF($A189="","",Registro_Contenedores!E189)</f>
        <v/>
      </c>
      <c r="D189" s="10" t="str">
        <f>IF($A189="","",Registro_Contenedores!H189)</f>
        <v/>
      </c>
      <c r="E189" s="10" t="str">
        <f>IF($A189="","",Planif_Grupasa!G189)</f>
        <v/>
      </c>
      <c r="F189" s="10" t="str">
        <f>IF($A189="","",Planif_Grupasa!I189)</f>
        <v/>
      </c>
      <c r="G189" s="10" t="str">
        <f>IF($A189="","",Registro_Contenedores!K189)</f>
        <v/>
      </c>
      <c r="H189" s="9"/>
      <c r="I189" s="9"/>
      <c r="J189" s="9"/>
    </row>
    <row r="190" spans="1:10" x14ac:dyDescent="0.35">
      <c r="A190" s="10" t="str">
        <f>IF(Registro_Contenedores!A190="","",Registro_Contenedores!A190)</f>
        <v/>
      </c>
      <c r="B190" s="10" t="str">
        <f>IF($A190="","",Registro_Contenedores!B190)</f>
        <v/>
      </c>
      <c r="C190" s="10" t="str">
        <f>IF($A190="","",Registro_Contenedores!E190)</f>
        <v/>
      </c>
      <c r="D190" s="10" t="str">
        <f>IF($A190="","",Registro_Contenedores!H190)</f>
        <v/>
      </c>
      <c r="E190" s="10" t="str">
        <f>IF($A190="","",Planif_Grupasa!G190)</f>
        <v/>
      </c>
      <c r="F190" s="10" t="str">
        <f>IF($A190="","",Planif_Grupasa!I190)</f>
        <v/>
      </c>
      <c r="G190" s="10" t="str">
        <f>IF($A190="","",Registro_Contenedores!K190)</f>
        <v/>
      </c>
      <c r="H190" s="9"/>
      <c r="I190" s="9"/>
      <c r="J190" s="9"/>
    </row>
    <row r="191" spans="1:10" x14ac:dyDescent="0.35">
      <c r="A191" s="10" t="str">
        <f>IF(Registro_Contenedores!A191="","",Registro_Contenedores!A191)</f>
        <v/>
      </c>
      <c r="B191" s="10" t="str">
        <f>IF($A191="","",Registro_Contenedores!B191)</f>
        <v/>
      </c>
      <c r="C191" s="10" t="str">
        <f>IF($A191="","",Registro_Contenedores!E191)</f>
        <v/>
      </c>
      <c r="D191" s="10" t="str">
        <f>IF($A191="","",Registro_Contenedores!H191)</f>
        <v/>
      </c>
      <c r="E191" s="10" t="str">
        <f>IF($A191="","",Planif_Grupasa!G191)</f>
        <v/>
      </c>
      <c r="F191" s="10" t="str">
        <f>IF($A191="","",Planif_Grupasa!I191)</f>
        <v/>
      </c>
      <c r="G191" s="10" t="str">
        <f>IF($A191="","",Registro_Contenedores!K191)</f>
        <v/>
      </c>
      <c r="H191" s="9"/>
      <c r="I191" s="9"/>
      <c r="J191" s="9"/>
    </row>
    <row r="192" spans="1:10" x14ac:dyDescent="0.35">
      <c r="A192" s="10" t="str">
        <f>IF(Registro_Contenedores!A192="","",Registro_Contenedores!A192)</f>
        <v/>
      </c>
      <c r="B192" s="10" t="str">
        <f>IF($A192="","",Registro_Contenedores!B192)</f>
        <v/>
      </c>
      <c r="C192" s="10" t="str">
        <f>IF($A192="","",Registro_Contenedores!E192)</f>
        <v/>
      </c>
      <c r="D192" s="10" t="str">
        <f>IF($A192="","",Registro_Contenedores!H192)</f>
        <v/>
      </c>
      <c r="E192" s="10" t="str">
        <f>IF($A192="","",Planif_Grupasa!G192)</f>
        <v/>
      </c>
      <c r="F192" s="10" t="str">
        <f>IF($A192="","",Planif_Grupasa!I192)</f>
        <v/>
      </c>
      <c r="G192" s="10" t="str">
        <f>IF($A192="","",Registro_Contenedores!K192)</f>
        <v/>
      </c>
      <c r="H192" s="9"/>
      <c r="I192" s="9"/>
      <c r="J192" s="9"/>
    </row>
    <row r="193" spans="1:10" x14ac:dyDescent="0.35">
      <c r="A193" s="10" t="str">
        <f>IF(Registro_Contenedores!A193="","",Registro_Contenedores!A193)</f>
        <v/>
      </c>
      <c r="B193" s="10" t="str">
        <f>IF($A193="","",Registro_Contenedores!B193)</f>
        <v/>
      </c>
      <c r="C193" s="10" t="str">
        <f>IF($A193="","",Registro_Contenedores!E193)</f>
        <v/>
      </c>
      <c r="D193" s="10" t="str">
        <f>IF($A193="","",Registro_Contenedores!H193)</f>
        <v/>
      </c>
      <c r="E193" s="10" t="str">
        <f>IF($A193="","",Planif_Grupasa!G193)</f>
        <v/>
      </c>
      <c r="F193" s="10" t="str">
        <f>IF($A193="","",Planif_Grupasa!I193)</f>
        <v/>
      </c>
      <c r="G193" s="10" t="str">
        <f>IF($A193="","",Registro_Contenedores!K193)</f>
        <v/>
      </c>
      <c r="H193" s="9"/>
      <c r="I193" s="9"/>
      <c r="J193" s="9"/>
    </row>
    <row r="194" spans="1:10" x14ac:dyDescent="0.35">
      <c r="A194" s="10" t="str">
        <f>IF(Registro_Contenedores!A194="","",Registro_Contenedores!A194)</f>
        <v/>
      </c>
      <c r="B194" s="10" t="str">
        <f>IF($A194="","",Registro_Contenedores!B194)</f>
        <v/>
      </c>
      <c r="C194" s="10" t="str">
        <f>IF($A194="","",Registro_Contenedores!E194)</f>
        <v/>
      </c>
      <c r="D194" s="10" t="str">
        <f>IF($A194="","",Registro_Contenedores!H194)</f>
        <v/>
      </c>
      <c r="E194" s="10" t="str">
        <f>IF($A194="","",Planif_Grupasa!G194)</f>
        <v/>
      </c>
      <c r="F194" s="10" t="str">
        <f>IF($A194="","",Planif_Grupasa!I194)</f>
        <v/>
      </c>
      <c r="G194" s="10" t="str">
        <f>IF($A194="","",Registro_Contenedores!K194)</f>
        <v/>
      </c>
      <c r="H194" s="9"/>
      <c r="I194" s="9"/>
      <c r="J194" s="9"/>
    </row>
    <row r="195" spans="1:10" x14ac:dyDescent="0.35">
      <c r="A195" s="10" t="str">
        <f>IF(Registro_Contenedores!A195="","",Registro_Contenedores!A195)</f>
        <v/>
      </c>
      <c r="B195" s="10" t="str">
        <f>IF($A195="","",Registro_Contenedores!B195)</f>
        <v/>
      </c>
      <c r="C195" s="10" t="str">
        <f>IF($A195="","",Registro_Contenedores!E195)</f>
        <v/>
      </c>
      <c r="D195" s="10" t="str">
        <f>IF($A195="","",Registro_Contenedores!H195)</f>
        <v/>
      </c>
      <c r="E195" s="10" t="str">
        <f>IF($A195="","",Planif_Grupasa!G195)</f>
        <v/>
      </c>
      <c r="F195" s="10" t="str">
        <f>IF($A195="","",Planif_Grupasa!I195)</f>
        <v/>
      </c>
      <c r="G195" s="10" t="str">
        <f>IF($A195="","",Registro_Contenedores!K195)</f>
        <v/>
      </c>
      <c r="H195" s="9"/>
      <c r="I195" s="9"/>
      <c r="J195" s="9"/>
    </row>
    <row r="196" spans="1:10" x14ac:dyDescent="0.35">
      <c r="A196" s="10" t="str">
        <f>IF(Registro_Contenedores!A196="","",Registro_Contenedores!A196)</f>
        <v/>
      </c>
      <c r="B196" s="10" t="str">
        <f>IF($A196="","",Registro_Contenedores!B196)</f>
        <v/>
      </c>
      <c r="C196" s="10" t="str">
        <f>IF($A196="","",Registro_Contenedores!E196)</f>
        <v/>
      </c>
      <c r="D196" s="10" t="str">
        <f>IF($A196="","",Registro_Contenedores!H196)</f>
        <v/>
      </c>
      <c r="E196" s="10" t="str">
        <f>IF($A196="","",Planif_Grupasa!G196)</f>
        <v/>
      </c>
      <c r="F196" s="10" t="str">
        <f>IF($A196="","",Planif_Grupasa!I196)</f>
        <v/>
      </c>
      <c r="G196" s="10" t="str">
        <f>IF($A196="","",Registro_Contenedores!K196)</f>
        <v/>
      </c>
      <c r="H196" s="9"/>
      <c r="I196" s="9"/>
      <c r="J196" s="9"/>
    </row>
    <row r="197" spans="1:10" x14ac:dyDescent="0.35">
      <c r="A197" s="10" t="str">
        <f>IF(Registro_Contenedores!A197="","",Registro_Contenedores!A197)</f>
        <v/>
      </c>
      <c r="B197" s="10" t="str">
        <f>IF($A197="","",Registro_Contenedores!B197)</f>
        <v/>
      </c>
      <c r="C197" s="10" t="str">
        <f>IF($A197="","",Registro_Contenedores!E197)</f>
        <v/>
      </c>
      <c r="D197" s="10" t="str">
        <f>IF($A197="","",Registro_Contenedores!H197)</f>
        <v/>
      </c>
      <c r="E197" s="10" t="str">
        <f>IF($A197="","",Planif_Grupasa!G197)</f>
        <v/>
      </c>
      <c r="F197" s="10" t="str">
        <f>IF($A197="","",Planif_Grupasa!I197)</f>
        <v/>
      </c>
      <c r="G197" s="10" t="str">
        <f>IF($A197="","",Registro_Contenedores!K197)</f>
        <v/>
      </c>
      <c r="H197" s="9"/>
      <c r="I197" s="9"/>
      <c r="J197" s="9"/>
    </row>
    <row r="198" spans="1:10" x14ac:dyDescent="0.35">
      <c r="A198" s="10" t="str">
        <f>IF(Registro_Contenedores!A198="","",Registro_Contenedores!A198)</f>
        <v/>
      </c>
      <c r="B198" s="10" t="str">
        <f>IF($A198="","",Registro_Contenedores!B198)</f>
        <v/>
      </c>
      <c r="C198" s="10" t="str">
        <f>IF($A198="","",Registro_Contenedores!E198)</f>
        <v/>
      </c>
      <c r="D198" s="10" t="str">
        <f>IF($A198="","",Registro_Contenedores!H198)</f>
        <v/>
      </c>
      <c r="E198" s="10" t="str">
        <f>IF($A198="","",Planif_Grupasa!G198)</f>
        <v/>
      </c>
      <c r="F198" s="10" t="str">
        <f>IF($A198="","",Planif_Grupasa!I198)</f>
        <v/>
      </c>
      <c r="G198" s="10" t="str">
        <f>IF($A198="","",Registro_Contenedores!K198)</f>
        <v/>
      </c>
      <c r="H198" s="9"/>
      <c r="I198" s="9"/>
      <c r="J198" s="9"/>
    </row>
    <row r="199" spans="1:10" x14ac:dyDescent="0.35">
      <c r="A199" s="10" t="str">
        <f>IF(Registro_Contenedores!A199="","",Registro_Contenedores!A199)</f>
        <v/>
      </c>
      <c r="B199" s="10" t="str">
        <f>IF($A199="","",Registro_Contenedores!B199)</f>
        <v/>
      </c>
      <c r="C199" s="10" t="str">
        <f>IF($A199="","",Registro_Contenedores!E199)</f>
        <v/>
      </c>
      <c r="D199" s="10" t="str">
        <f>IF($A199="","",Registro_Contenedores!H199)</f>
        <v/>
      </c>
      <c r="E199" s="10" t="str">
        <f>IF($A199="","",Planif_Grupasa!G199)</f>
        <v/>
      </c>
      <c r="F199" s="10" t="str">
        <f>IF($A199="","",Planif_Grupasa!I199)</f>
        <v/>
      </c>
      <c r="G199" s="10" t="str">
        <f>IF($A199="","",Registro_Contenedores!K199)</f>
        <v/>
      </c>
      <c r="H199" s="9"/>
      <c r="I199" s="9"/>
      <c r="J199" s="9"/>
    </row>
    <row r="200" spans="1:10" x14ac:dyDescent="0.35">
      <c r="A200" s="10" t="str">
        <f>IF(Registro_Contenedores!A200="","",Registro_Contenedores!A200)</f>
        <v/>
      </c>
      <c r="B200" s="10" t="str">
        <f>IF($A200="","",Registro_Contenedores!B200)</f>
        <v/>
      </c>
      <c r="C200" s="10" t="str">
        <f>IF($A200="","",Registro_Contenedores!E200)</f>
        <v/>
      </c>
      <c r="D200" s="10" t="str">
        <f>IF($A200="","",Registro_Contenedores!H200)</f>
        <v/>
      </c>
      <c r="E200" s="10" t="str">
        <f>IF($A200="","",Planif_Grupasa!G200)</f>
        <v/>
      </c>
      <c r="F200" s="10" t="str">
        <f>IF($A200="","",Planif_Grupasa!I200)</f>
        <v/>
      </c>
      <c r="G200" s="10" t="str">
        <f>IF($A200="","",Registro_Contenedores!K200)</f>
        <v/>
      </c>
      <c r="H200" s="9"/>
      <c r="I200" s="9"/>
      <c r="J200" s="9"/>
    </row>
    <row r="201" spans="1:10" x14ac:dyDescent="0.35">
      <c r="A201" s="10" t="str">
        <f>IF(Registro_Contenedores!A201="","",Registro_Contenedores!A201)</f>
        <v/>
      </c>
      <c r="B201" s="10" t="str">
        <f>IF($A201="","",Registro_Contenedores!B201)</f>
        <v/>
      </c>
      <c r="C201" s="10" t="str">
        <f>IF($A201="","",Registro_Contenedores!E201)</f>
        <v/>
      </c>
      <c r="D201" s="10" t="str">
        <f>IF($A201="","",Registro_Contenedores!H201)</f>
        <v/>
      </c>
      <c r="E201" s="10" t="str">
        <f>IF($A201="","",Planif_Grupasa!G201)</f>
        <v/>
      </c>
      <c r="F201" s="10" t="str">
        <f>IF($A201="","",Planif_Grupasa!I201)</f>
        <v/>
      </c>
      <c r="G201" s="10" t="str">
        <f>IF($A201="","",Registro_Contenedores!K201)</f>
        <v/>
      </c>
      <c r="H201" s="9"/>
      <c r="I201" s="9"/>
      <c r="J201" s="9"/>
    </row>
    <row r="202" spans="1:10" x14ac:dyDescent="0.35">
      <c r="A202" s="10" t="str">
        <f>IF(Registro_Contenedores!A202="","",Registro_Contenedores!A202)</f>
        <v/>
      </c>
      <c r="B202" s="10" t="str">
        <f>IF($A202="","",Registro_Contenedores!B202)</f>
        <v/>
      </c>
      <c r="C202" s="10" t="str">
        <f>IF($A202="","",Registro_Contenedores!E202)</f>
        <v/>
      </c>
      <c r="D202" s="10" t="str">
        <f>IF($A202="","",Registro_Contenedores!H202)</f>
        <v/>
      </c>
      <c r="E202" s="10" t="str">
        <f>IF($A202="","",Planif_Grupasa!G202)</f>
        <v/>
      </c>
      <c r="F202" s="10" t="str">
        <f>IF($A202="","",Planif_Grupasa!I202)</f>
        <v/>
      </c>
      <c r="G202" s="10" t="str">
        <f>IF($A202="","",Registro_Contenedores!K202)</f>
        <v/>
      </c>
      <c r="H202" s="9"/>
      <c r="I202" s="9"/>
      <c r="J202" s="9"/>
    </row>
    <row r="203" spans="1:10" x14ac:dyDescent="0.35">
      <c r="A203" s="10" t="str">
        <f>IF(Registro_Contenedores!A203="","",Registro_Contenedores!A203)</f>
        <v/>
      </c>
      <c r="B203" s="10" t="str">
        <f>IF($A203="","",Registro_Contenedores!B203)</f>
        <v/>
      </c>
      <c r="C203" s="10" t="str">
        <f>IF($A203="","",Registro_Contenedores!E203)</f>
        <v/>
      </c>
      <c r="D203" s="10" t="str">
        <f>IF($A203="","",Registro_Contenedores!H203)</f>
        <v/>
      </c>
      <c r="E203" s="10" t="str">
        <f>IF($A203="","",Planif_Grupasa!G203)</f>
        <v/>
      </c>
      <c r="F203" s="10" t="str">
        <f>IF($A203="","",Planif_Grupasa!I203)</f>
        <v/>
      </c>
      <c r="G203" s="10" t="str">
        <f>IF($A203="","",Registro_Contenedores!K203)</f>
        <v/>
      </c>
      <c r="H203" s="9"/>
      <c r="I203" s="9"/>
      <c r="J203" s="9"/>
    </row>
  </sheetData>
  <sheetProtection password="C18C" sheet="1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3"/>
  <sheetViews>
    <sheetView showGridLines="0" topLeftCell="E1" workbookViewId="0">
      <pane ySplit="3" topLeftCell="A4" activePane="bottomLeft" state="frozen"/>
      <selection pane="bottomLeft" activeCell="L6" sqref="L6"/>
    </sheetView>
  </sheetViews>
  <sheetFormatPr baseColWidth="10" defaultColWidth="8.7265625" defaultRowHeight="14.5" x14ac:dyDescent="0.35"/>
  <cols>
    <col min="1" max="1" width="18" customWidth="1"/>
    <col min="2" max="3" width="14" customWidth="1"/>
    <col min="4" max="4" width="12" customWidth="1"/>
    <col min="5" max="5" width="13" customWidth="1"/>
    <col min="6" max="6" width="18" customWidth="1"/>
    <col min="7" max="7" width="14" customWidth="1"/>
    <col min="8" max="8" width="20" customWidth="1"/>
    <col min="9" max="9" width="18" customWidth="1"/>
    <col min="10" max="10" width="20" customWidth="1"/>
    <col min="11" max="12" width="18" customWidth="1"/>
    <col min="13" max="13" width="28" customWidth="1"/>
    <col min="14" max="15" width="13" customWidth="1"/>
  </cols>
  <sheetData>
    <row r="1" spans="1:17" ht="22" customHeight="1" x14ac:dyDescent="0.35">
      <c r="A1" s="15" t="s">
        <v>101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"/>
      <c r="O1" s="1"/>
      <c r="P1" s="1"/>
      <c r="Q1" s="1"/>
    </row>
    <row r="2" spans="1:1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3" t="s">
        <v>48</v>
      </c>
      <c r="B3" s="3" t="s">
        <v>49</v>
      </c>
      <c r="C3" s="3" t="s">
        <v>52</v>
      </c>
      <c r="D3" s="3" t="s">
        <v>55</v>
      </c>
      <c r="E3" s="3" t="s">
        <v>57</v>
      </c>
      <c r="F3" s="3" t="s">
        <v>83</v>
      </c>
      <c r="G3" s="3" t="s">
        <v>85</v>
      </c>
      <c r="H3" s="3" t="s">
        <v>97</v>
      </c>
      <c r="I3" s="3" t="s">
        <v>58</v>
      </c>
      <c r="J3" s="3" t="s">
        <v>102</v>
      </c>
      <c r="K3" s="3" t="s">
        <v>103</v>
      </c>
      <c r="L3" s="3" t="s">
        <v>19</v>
      </c>
      <c r="M3" s="3" t="s">
        <v>104</v>
      </c>
      <c r="N3" s="1"/>
      <c r="O3" s="1"/>
      <c r="P3" s="1"/>
      <c r="Q3" s="1"/>
    </row>
    <row r="4" spans="1:17" x14ac:dyDescent="0.35">
      <c r="A4" s="7" t="str">
        <f>IF(Registro_Contenedores!A4="","",Registro_Contenedores!A4)</f>
        <v>MSCU4510021</v>
      </c>
      <c r="B4" s="7" t="str">
        <f>IF($A4="","",Registro_Contenedores!B4)</f>
        <v>PED-260401</v>
      </c>
      <c r="C4" s="7" t="str">
        <f>IF($A4="","",Registro_Contenedores!E4)</f>
        <v>MSC</v>
      </c>
      <c r="D4" s="7" t="str">
        <f>IF($A4="","",Registro_Contenedores!H4)</f>
        <v>CGSA</v>
      </c>
      <c r="E4" s="7">
        <f>IF($A4="","",Registro_Contenedores!J4)</f>
        <v>46127</v>
      </c>
      <c r="F4" s="7">
        <f>IF($A4="","",Planif_Grupasa!G4)</f>
        <v>46119</v>
      </c>
      <c r="G4" s="7" t="str">
        <f>IF($A4="","",Planif_Grupasa!I4)</f>
        <v>08:00</v>
      </c>
      <c r="H4" s="7">
        <f>IF($A4="","",Planif_Galagans!I4)</f>
        <v>46124</v>
      </c>
      <c r="I4" s="7" t="str">
        <f>IF($A4="","",Registro_Contenedores!K4)</f>
        <v>MEDLOG</v>
      </c>
      <c r="J4" s="5" t="s">
        <v>24</v>
      </c>
      <c r="K4" s="8"/>
      <c r="L4" s="5" t="s">
        <v>31</v>
      </c>
      <c r="M4" s="5" t="s">
        <v>105</v>
      </c>
      <c r="N4" s="1"/>
      <c r="O4" s="1"/>
      <c r="P4" s="1"/>
      <c r="Q4" s="1"/>
    </row>
    <row r="5" spans="1:17" x14ac:dyDescent="0.35">
      <c r="A5" s="7" t="str">
        <f>IF(Registro_Contenedores!A5="","",Registro_Contenedores!A5)</f>
        <v>CMAU3381450</v>
      </c>
      <c r="B5" s="7" t="str">
        <f>IF($A5="","",Registro_Contenedores!B5)</f>
        <v>PED-260402</v>
      </c>
      <c r="C5" s="7" t="str">
        <f>IF($A5="","",Registro_Contenedores!E5)</f>
        <v>CMA CGM</v>
      </c>
      <c r="D5" s="7" t="str">
        <f>IF($A5="","",Registro_Contenedores!H5)</f>
        <v>NAPORTEC</v>
      </c>
      <c r="E5" s="7">
        <f>IF($A5="","",Registro_Contenedores!J5)</f>
        <v>46126</v>
      </c>
      <c r="F5" s="7">
        <f>IF($A5="","",Planif_Grupasa!G5)</f>
        <v>46120</v>
      </c>
      <c r="G5" s="7" t="str">
        <f>IF($A5="","",Planif_Grupasa!I5)</f>
        <v>10:30</v>
      </c>
      <c r="H5" s="7">
        <f>IF($A5="","",Planif_Galagans!I5)</f>
        <v>46125</v>
      </c>
      <c r="I5" s="7" t="str">
        <f>IF($A5="","",Registro_Contenedores!K5)</f>
        <v>BLASTI</v>
      </c>
      <c r="J5" s="5" t="s">
        <v>30</v>
      </c>
      <c r="K5" s="8"/>
      <c r="L5" s="5" t="s">
        <v>25</v>
      </c>
      <c r="M5" s="5" t="s">
        <v>106</v>
      </c>
      <c r="N5" s="1"/>
      <c r="O5" s="1"/>
      <c r="P5" s="1"/>
      <c r="Q5" s="1"/>
    </row>
    <row r="6" spans="1:17" x14ac:dyDescent="0.35">
      <c r="A6" s="7" t="str">
        <f>IF(Registro_Contenedores!A6="","",Registro_Contenedores!A6)</f>
        <v>MSCU4102298</v>
      </c>
      <c r="B6" s="7" t="str">
        <f>IF($A6="","",Registro_Contenedores!B6)</f>
        <v>PED-260403</v>
      </c>
      <c r="C6" s="7" t="str">
        <f>IF($A6="","",Registro_Contenedores!E6)</f>
        <v>MSC</v>
      </c>
      <c r="D6" s="7" t="str">
        <f>IF($A6="","",Registro_Contenedores!H6)</f>
        <v>TPG</v>
      </c>
      <c r="E6" s="7">
        <f>IF($A6="","",Registro_Contenedores!J6)</f>
        <v>46128</v>
      </c>
      <c r="F6" s="7">
        <f>IF($A6="","",Planif_Grupasa!G6)</f>
        <v>46121</v>
      </c>
      <c r="G6" s="7" t="str">
        <f>IF($A6="","",Planif_Grupasa!I6)</f>
        <v>07:45</v>
      </c>
      <c r="H6" s="7">
        <f>IF($A6="","",Planif_Galagans!I6)</f>
        <v>46126</v>
      </c>
      <c r="I6" s="7" t="str">
        <f>IF($A6="","",Registro_Contenedores!K6)</f>
        <v>RFS</v>
      </c>
      <c r="J6" s="5" t="s">
        <v>44</v>
      </c>
      <c r="K6" s="8" t="s">
        <v>107</v>
      </c>
      <c r="L6" s="5" t="s">
        <v>46</v>
      </c>
      <c r="M6" s="5" t="s">
        <v>108</v>
      </c>
      <c r="N6" s="1"/>
      <c r="O6" s="1"/>
      <c r="P6" s="1"/>
      <c r="Q6" s="1"/>
    </row>
    <row r="7" spans="1:17" x14ac:dyDescent="0.35">
      <c r="A7" s="7" t="str">
        <f>IF(Registro_Contenedores!A7="","",Registro_Contenedores!A7)</f>
        <v>MAEU9928113</v>
      </c>
      <c r="B7" s="7" t="str">
        <f>IF($A7="","",Registro_Contenedores!B7)</f>
        <v>PED-260404</v>
      </c>
      <c r="C7" s="7" t="str">
        <f>IF($A7="","",Registro_Contenedores!E7)</f>
        <v>MAERSK</v>
      </c>
      <c r="D7" s="7" t="str">
        <f>IF($A7="","",Registro_Contenedores!H7)</f>
        <v>POSORJA</v>
      </c>
      <c r="E7" s="7">
        <f>IF($A7="","",Registro_Contenedores!J7)</f>
        <v>46130</v>
      </c>
      <c r="F7" s="7">
        <f>IF($A7="","",Planif_Grupasa!G7)</f>
        <v>46122</v>
      </c>
      <c r="G7" s="7" t="str">
        <f>IF($A7="","",Planif_Grupasa!I7)</f>
        <v>11:00</v>
      </c>
      <c r="H7" s="7">
        <f>IF($A7="","",Planif_Galagans!I7)</f>
        <v>46127</v>
      </c>
      <c r="I7" s="7" t="str">
        <f>IF($A7="","",Registro_Contenedores!K7)</f>
        <v>CONTECON VACIOS</v>
      </c>
      <c r="J7" s="5" t="s">
        <v>24</v>
      </c>
      <c r="K7" s="8"/>
      <c r="L7" s="5" t="s">
        <v>25</v>
      </c>
      <c r="M7" s="5" t="s">
        <v>109</v>
      </c>
      <c r="N7" s="1"/>
      <c r="O7" s="1"/>
      <c r="P7" s="1"/>
      <c r="Q7" s="1"/>
    </row>
    <row r="8" spans="1:17" x14ac:dyDescent="0.35">
      <c r="A8" s="7" t="str">
        <f>IF(Registro_Contenedores!A8="","",Registro_Contenedores!A8)</f>
        <v>HLBU5543219</v>
      </c>
      <c r="B8" s="7" t="str">
        <f>IF($A8="","",Registro_Contenedores!B8)</f>
        <v>PED-260405</v>
      </c>
      <c r="C8" s="7" t="str">
        <f>IF($A8="","",Registro_Contenedores!E8)</f>
        <v>HALO</v>
      </c>
      <c r="D8" s="7" t="str">
        <f>IF($A8="","",Registro_Contenedores!H8)</f>
        <v>CGSA</v>
      </c>
      <c r="E8" s="7">
        <f>IF($A8="","",Registro_Contenedores!J8)</f>
        <v>46131</v>
      </c>
      <c r="F8" s="7">
        <f>IF($A8="","",Planif_Grupasa!G8)</f>
        <v>46123</v>
      </c>
      <c r="G8" s="7" t="str">
        <f>IF($A8="","",Planif_Grupasa!I8)</f>
        <v>09:15</v>
      </c>
      <c r="H8" s="7">
        <f>IF($A8="","",Planif_Galagans!I8)</f>
        <v>46128</v>
      </c>
      <c r="I8" s="7" t="str">
        <f>IF($A8="","",Registro_Contenedores!K8)</f>
        <v>MEDLOG</v>
      </c>
      <c r="J8" s="5" t="s">
        <v>30</v>
      </c>
      <c r="K8" s="8"/>
      <c r="L8" s="5" t="s">
        <v>25</v>
      </c>
      <c r="M8" s="5" t="s">
        <v>110</v>
      </c>
      <c r="N8" s="1"/>
      <c r="O8" s="1"/>
      <c r="P8" s="1"/>
      <c r="Q8" s="1"/>
    </row>
    <row r="9" spans="1:17" x14ac:dyDescent="0.35">
      <c r="A9" s="7" t="str">
        <f>IF(Registro_Contenedores!A9="","",Registro_Contenedores!A9)</f>
        <v/>
      </c>
      <c r="B9" s="7" t="str">
        <f>IF($A9="","",Registro_Contenedores!B9)</f>
        <v/>
      </c>
      <c r="C9" s="7" t="str">
        <f>IF($A9="","",Registro_Contenedores!E9)</f>
        <v/>
      </c>
      <c r="D9" s="7" t="str">
        <f>IF($A9="","",Registro_Contenedores!H9)</f>
        <v/>
      </c>
      <c r="E9" s="7" t="str">
        <f>IF($A9="","",Registro_Contenedores!J9)</f>
        <v/>
      </c>
      <c r="F9" s="7" t="str">
        <f>IF($A9="","",Planif_Grupasa!G9)</f>
        <v/>
      </c>
      <c r="G9" s="7" t="str">
        <f>IF($A9="","",Planif_Grupasa!I9)</f>
        <v/>
      </c>
      <c r="H9" s="7" t="str">
        <f>IF($A9="","",Planif_Galagans!I9)</f>
        <v/>
      </c>
      <c r="I9" s="7" t="str">
        <f>IF($A9="","",Registro_Contenedores!K9)</f>
        <v/>
      </c>
      <c r="J9" s="5"/>
      <c r="K9" s="5"/>
      <c r="L9" s="5"/>
      <c r="M9" s="5"/>
      <c r="N9" s="1"/>
      <c r="O9" s="1"/>
      <c r="P9" s="1"/>
      <c r="Q9" s="1"/>
    </row>
    <row r="10" spans="1:17" x14ac:dyDescent="0.35">
      <c r="A10" s="7" t="str">
        <f>IF(Registro_Contenedores!A10="","",Registro_Contenedores!A10)</f>
        <v/>
      </c>
      <c r="B10" s="7" t="str">
        <f>IF($A10="","",Registro_Contenedores!B10)</f>
        <v/>
      </c>
      <c r="C10" s="7" t="str">
        <f>IF($A10="","",Registro_Contenedores!E10)</f>
        <v/>
      </c>
      <c r="D10" s="7" t="str">
        <f>IF($A10="","",Registro_Contenedores!H10)</f>
        <v/>
      </c>
      <c r="E10" s="7" t="str">
        <f>IF($A10="","",Registro_Contenedores!J10)</f>
        <v/>
      </c>
      <c r="F10" s="7" t="str">
        <f>IF($A10="","",Planif_Grupasa!G10)</f>
        <v/>
      </c>
      <c r="G10" s="7" t="str">
        <f>IF($A10="","",Planif_Grupasa!I10)</f>
        <v/>
      </c>
      <c r="H10" s="7" t="str">
        <f>IF($A10="","",Planif_Galagans!I10)</f>
        <v/>
      </c>
      <c r="I10" s="7" t="str">
        <f>IF($A10="","",Registro_Contenedores!K10)</f>
        <v/>
      </c>
      <c r="J10" s="5"/>
      <c r="K10" s="5"/>
      <c r="L10" s="5"/>
      <c r="M10" s="5"/>
      <c r="N10" s="1"/>
      <c r="O10" s="1"/>
      <c r="P10" s="1"/>
      <c r="Q10" s="1"/>
    </row>
    <row r="11" spans="1:17" x14ac:dyDescent="0.35">
      <c r="A11" s="7" t="str">
        <f>IF(Registro_Contenedores!A11="","",Registro_Contenedores!A11)</f>
        <v/>
      </c>
      <c r="B11" s="7" t="str">
        <f>IF($A11="","",Registro_Contenedores!B11)</f>
        <v/>
      </c>
      <c r="C11" s="7" t="str">
        <f>IF($A11="","",Registro_Contenedores!E11)</f>
        <v/>
      </c>
      <c r="D11" s="7" t="str">
        <f>IF($A11="","",Registro_Contenedores!H11)</f>
        <v/>
      </c>
      <c r="E11" s="7" t="str">
        <f>IF($A11="","",Registro_Contenedores!J11)</f>
        <v/>
      </c>
      <c r="F11" s="7" t="str">
        <f>IF($A11="","",Planif_Grupasa!G11)</f>
        <v/>
      </c>
      <c r="G11" s="7" t="str">
        <f>IF($A11="","",Planif_Grupasa!I11)</f>
        <v/>
      </c>
      <c r="H11" s="7" t="str">
        <f>IF($A11="","",Planif_Galagans!I11)</f>
        <v/>
      </c>
      <c r="I11" s="7" t="str">
        <f>IF($A11="","",Registro_Contenedores!K11)</f>
        <v/>
      </c>
      <c r="J11" s="5"/>
      <c r="K11" s="5"/>
      <c r="L11" s="5"/>
      <c r="M11" s="5"/>
      <c r="N11" s="1"/>
      <c r="O11" s="1"/>
      <c r="P11" s="1"/>
      <c r="Q11" s="1"/>
    </row>
    <row r="12" spans="1:17" x14ac:dyDescent="0.35">
      <c r="A12" s="7" t="str">
        <f>IF(Registro_Contenedores!A12="","",Registro_Contenedores!A12)</f>
        <v/>
      </c>
      <c r="B12" s="7" t="str">
        <f>IF($A12="","",Registro_Contenedores!B12)</f>
        <v/>
      </c>
      <c r="C12" s="7" t="str">
        <f>IF($A12="","",Registro_Contenedores!E12)</f>
        <v/>
      </c>
      <c r="D12" s="7" t="str">
        <f>IF($A12="","",Registro_Contenedores!H12)</f>
        <v/>
      </c>
      <c r="E12" s="7" t="str">
        <f>IF($A12="","",Registro_Contenedores!J12)</f>
        <v/>
      </c>
      <c r="F12" s="7" t="str">
        <f>IF($A12="","",Planif_Grupasa!G12)</f>
        <v/>
      </c>
      <c r="G12" s="7" t="str">
        <f>IF($A12="","",Planif_Grupasa!I12)</f>
        <v/>
      </c>
      <c r="H12" s="7" t="str">
        <f>IF($A12="","",Planif_Galagans!I12)</f>
        <v/>
      </c>
      <c r="I12" s="7" t="str">
        <f>IF($A12="","",Registro_Contenedores!K12)</f>
        <v/>
      </c>
      <c r="J12" s="5"/>
      <c r="K12" s="5"/>
      <c r="L12" s="5"/>
      <c r="M12" s="5"/>
      <c r="N12" s="1"/>
      <c r="O12" s="1"/>
      <c r="P12" s="1"/>
      <c r="Q12" s="1"/>
    </row>
    <row r="13" spans="1:17" x14ac:dyDescent="0.35">
      <c r="A13" s="7" t="str">
        <f>IF(Registro_Contenedores!A13="","",Registro_Contenedores!A13)</f>
        <v/>
      </c>
      <c r="B13" s="7" t="str">
        <f>IF($A13="","",Registro_Contenedores!B13)</f>
        <v/>
      </c>
      <c r="C13" s="7" t="str">
        <f>IF($A13="","",Registro_Contenedores!E13)</f>
        <v/>
      </c>
      <c r="D13" s="7" t="str">
        <f>IF($A13="","",Registro_Contenedores!H13)</f>
        <v/>
      </c>
      <c r="E13" s="7" t="str">
        <f>IF($A13="","",Registro_Contenedores!J13)</f>
        <v/>
      </c>
      <c r="F13" s="7" t="str">
        <f>IF($A13="","",Planif_Grupasa!G13)</f>
        <v/>
      </c>
      <c r="G13" s="7" t="str">
        <f>IF($A13="","",Planif_Grupasa!I13)</f>
        <v/>
      </c>
      <c r="H13" s="7" t="str">
        <f>IF($A13="","",Planif_Galagans!I13)</f>
        <v/>
      </c>
      <c r="I13" s="7" t="str">
        <f>IF($A13="","",Registro_Contenedores!K13)</f>
        <v/>
      </c>
      <c r="J13" s="5"/>
      <c r="K13" s="5"/>
      <c r="L13" s="5"/>
      <c r="M13" s="5"/>
      <c r="N13" s="1"/>
      <c r="O13" s="1"/>
      <c r="P13" s="1"/>
      <c r="Q13" s="1"/>
    </row>
    <row r="14" spans="1:17" x14ac:dyDescent="0.35">
      <c r="A14" s="7" t="str">
        <f>IF(Registro_Contenedores!A14="","",Registro_Contenedores!A14)</f>
        <v/>
      </c>
      <c r="B14" s="7" t="str">
        <f>IF($A14="","",Registro_Contenedores!B14)</f>
        <v/>
      </c>
      <c r="C14" s="7" t="str">
        <f>IF($A14="","",Registro_Contenedores!E14)</f>
        <v/>
      </c>
      <c r="D14" s="7" t="str">
        <f>IF($A14="","",Registro_Contenedores!H14)</f>
        <v/>
      </c>
      <c r="E14" s="7" t="str">
        <f>IF($A14="","",Registro_Contenedores!J14)</f>
        <v/>
      </c>
      <c r="F14" s="7" t="str">
        <f>IF($A14="","",Planif_Grupasa!G14)</f>
        <v/>
      </c>
      <c r="G14" s="7" t="str">
        <f>IF($A14="","",Planif_Grupasa!I14)</f>
        <v/>
      </c>
      <c r="H14" s="7" t="str">
        <f>IF($A14="","",Planif_Galagans!I14)</f>
        <v/>
      </c>
      <c r="I14" s="7" t="str">
        <f>IF($A14="","",Registro_Contenedores!K14)</f>
        <v/>
      </c>
      <c r="J14" s="5"/>
      <c r="K14" s="5"/>
      <c r="L14" s="5"/>
      <c r="M14" s="5"/>
      <c r="N14" s="1"/>
      <c r="O14" s="1"/>
      <c r="P14" s="1"/>
      <c r="Q14" s="1"/>
    </row>
    <row r="15" spans="1:17" x14ac:dyDescent="0.35">
      <c r="A15" s="7" t="str">
        <f>IF(Registro_Contenedores!A15="","",Registro_Contenedores!A15)</f>
        <v/>
      </c>
      <c r="B15" s="7" t="str">
        <f>IF($A15="","",Registro_Contenedores!B15)</f>
        <v/>
      </c>
      <c r="C15" s="7" t="str">
        <f>IF($A15="","",Registro_Contenedores!E15)</f>
        <v/>
      </c>
      <c r="D15" s="7" t="str">
        <f>IF($A15="","",Registro_Contenedores!H15)</f>
        <v/>
      </c>
      <c r="E15" s="7" t="str">
        <f>IF($A15="","",Registro_Contenedores!J15)</f>
        <v/>
      </c>
      <c r="F15" s="7" t="str">
        <f>IF($A15="","",Planif_Grupasa!G15)</f>
        <v/>
      </c>
      <c r="G15" s="7" t="str">
        <f>IF($A15="","",Planif_Grupasa!I15)</f>
        <v/>
      </c>
      <c r="H15" s="7" t="str">
        <f>IF($A15="","",Planif_Galagans!I15)</f>
        <v/>
      </c>
      <c r="I15" s="7" t="str">
        <f>IF($A15="","",Registro_Contenedores!K15)</f>
        <v/>
      </c>
      <c r="J15" s="5"/>
      <c r="K15" s="5"/>
      <c r="L15" s="5"/>
      <c r="M15" s="5"/>
      <c r="N15" s="1"/>
      <c r="O15" s="1"/>
      <c r="P15" s="1"/>
      <c r="Q15" s="1"/>
    </row>
    <row r="16" spans="1:17" x14ac:dyDescent="0.35">
      <c r="A16" s="7" t="str">
        <f>IF(Registro_Contenedores!A16="","",Registro_Contenedores!A16)</f>
        <v/>
      </c>
      <c r="B16" s="7" t="str">
        <f>IF($A16="","",Registro_Contenedores!B16)</f>
        <v/>
      </c>
      <c r="C16" s="7" t="str">
        <f>IF($A16="","",Registro_Contenedores!E16)</f>
        <v/>
      </c>
      <c r="D16" s="7" t="str">
        <f>IF($A16="","",Registro_Contenedores!H16)</f>
        <v/>
      </c>
      <c r="E16" s="7" t="str">
        <f>IF($A16="","",Registro_Contenedores!J16)</f>
        <v/>
      </c>
      <c r="F16" s="7" t="str">
        <f>IF($A16="","",Planif_Grupasa!G16)</f>
        <v/>
      </c>
      <c r="G16" s="7" t="str">
        <f>IF($A16="","",Planif_Grupasa!I16)</f>
        <v/>
      </c>
      <c r="H16" s="7" t="str">
        <f>IF($A16="","",Planif_Galagans!I16)</f>
        <v/>
      </c>
      <c r="I16" s="7" t="str">
        <f>IF($A16="","",Registro_Contenedores!K16)</f>
        <v/>
      </c>
      <c r="J16" s="5"/>
      <c r="K16" s="5"/>
      <c r="L16" s="5"/>
      <c r="M16" s="5"/>
      <c r="N16" s="1"/>
      <c r="O16" s="1"/>
      <c r="P16" s="1"/>
      <c r="Q16" s="1"/>
    </row>
    <row r="17" spans="1:17" x14ac:dyDescent="0.35">
      <c r="A17" s="7" t="str">
        <f>IF(Registro_Contenedores!A17="","",Registro_Contenedores!A17)</f>
        <v/>
      </c>
      <c r="B17" s="7" t="str">
        <f>IF($A17="","",Registro_Contenedores!B17)</f>
        <v/>
      </c>
      <c r="C17" s="7" t="str">
        <f>IF($A17="","",Registro_Contenedores!E17)</f>
        <v/>
      </c>
      <c r="D17" s="7" t="str">
        <f>IF($A17="","",Registro_Contenedores!H17)</f>
        <v/>
      </c>
      <c r="E17" s="7" t="str">
        <f>IF($A17="","",Registro_Contenedores!J17)</f>
        <v/>
      </c>
      <c r="F17" s="7" t="str">
        <f>IF($A17="","",Planif_Grupasa!G17)</f>
        <v/>
      </c>
      <c r="G17" s="7" t="str">
        <f>IF($A17="","",Planif_Grupasa!I17)</f>
        <v/>
      </c>
      <c r="H17" s="7" t="str">
        <f>IF($A17="","",Planif_Galagans!I17)</f>
        <v/>
      </c>
      <c r="I17" s="7" t="str">
        <f>IF($A17="","",Registro_Contenedores!K17)</f>
        <v/>
      </c>
      <c r="J17" s="5"/>
      <c r="K17" s="5"/>
      <c r="L17" s="5"/>
      <c r="M17" s="5"/>
      <c r="N17" s="1"/>
      <c r="O17" s="1"/>
      <c r="P17" s="1"/>
      <c r="Q17" s="1"/>
    </row>
    <row r="18" spans="1:17" x14ac:dyDescent="0.35">
      <c r="A18" s="7" t="str">
        <f>IF(Registro_Contenedores!A18="","",Registro_Contenedores!A18)</f>
        <v/>
      </c>
      <c r="B18" s="7" t="str">
        <f>IF($A18="","",Registro_Contenedores!B18)</f>
        <v/>
      </c>
      <c r="C18" s="7" t="str">
        <f>IF($A18="","",Registro_Contenedores!E18)</f>
        <v/>
      </c>
      <c r="D18" s="7" t="str">
        <f>IF($A18="","",Registro_Contenedores!H18)</f>
        <v/>
      </c>
      <c r="E18" s="7" t="str">
        <f>IF($A18="","",Registro_Contenedores!J18)</f>
        <v/>
      </c>
      <c r="F18" s="7" t="str">
        <f>IF($A18="","",Planif_Grupasa!G18)</f>
        <v/>
      </c>
      <c r="G18" s="7" t="str">
        <f>IF($A18="","",Planif_Grupasa!I18)</f>
        <v/>
      </c>
      <c r="H18" s="7" t="str">
        <f>IF($A18="","",Planif_Galagans!I18)</f>
        <v/>
      </c>
      <c r="I18" s="7" t="str">
        <f>IF($A18="","",Registro_Contenedores!K18)</f>
        <v/>
      </c>
      <c r="J18" s="5"/>
      <c r="K18" s="5"/>
      <c r="L18" s="5"/>
      <c r="M18" s="5"/>
      <c r="N18" s="1"/>
      <c r="O18" s="1"/>
      <c r="P18" s="1"/>
      <c r="Q18" s="1"/>
    </row>
    <row r="19" spans="1:17" x14ac:dyDescent="0.35">
      <c r="A19" s="7" t="str">
        <f>IF(Registro_Contenedores!A19="","",Registro_Contenedores!A19)</f>
        <v/>
      </c>
      <c r="B19" s="7" t="str">
        <f>IF($A19="","",Registro_Contenedores!B19)</f>
        <v/>
      </c>
      <c r="C19" s="7" t="str">
        <f>IF($A19="","",Registro_Contenedores!E19)</f>
        <v/>
      </c>
      <c r="D19" s="7" t="str">
        <f>IF($A19="","",Registro_Contenedores!H19)</f>
        <v/>
      </c>
      <c r="E19" s="7" t="str">
        <f>IF($A19="","",Registro_Contenedores!J19)</f>
        <v/>
      </c>
      <c r="F19" s="7" t="str">
        <f>IF($A19="","",Planif_Grupasa!G19)</f>
        <v/>
      </c>
      <c r="G19" s="7" t="str">
        <f>IF($A19="","",Planif_Grupasa!I19)</f>
        <v/>
      </c>
      <c r="H19" s="7" t="str">
        <f>IF($A19="","",Planif_Galagans!I19)</f>
        <v/>
      </c>
      <c r="I19" s="7" t="str">
        <f>IF($A19="","",Registro_Contenedores!K19)</f>
        <v/>
      </c>
      <c r="J19" s="5"/>
      <c r="K19" s="5"/>
      <c r="L19" s="5"/>
      <c r="M19" s="5"/>
      <c r="N19" s="1"/>
      <c r="O19" s="1"/>
      <c r="P19" s="1"/>
      <c r="Q19" s="1"/>
    </row>
    <row r="20" spans="1:17" x14ac:dyDescent="0.35">
      <c r="A20" s="7" t="str">
        <f>IF(Registro_Contenedores!A20="","",Registro_Contenedores!A20)</f>
        <v/>
      </c>
      <c r="B20" s="7" t="str">
        <f>IF($A20="","",Registro_Contenedores!B20)</f>
        <v/>
      </c>
      <c r="C20" s="7" t="str">
        <f>IF($A20="","",Registro_Contenedores!E20)</f>
        <v/>
      </c>
      <c r="D20" s="7" t="str">
        <f>IF($A20="","",Registro_Contenedores!H20)</f>
        <v/>
      </c>
      <c r="E20" s="7" t="str">
        <f>IF($A20="","",Registro_Contenedores!J20)</f>
        <v/>
      </c>
      <c r="F20" s="7" t="str">
        <f>IF($A20="","",Planif_Grupasa!G20)</f>
        <v/>
      </c>
      <c r="G20" s="7" t="str">
        <f>IF($A20="","",Planif_Grupasa!I20)</f>
        <v/>
      </c>
      <c r="H20" s="7" t="str">
        <f>IF($A20="","",Planif_Galagans!I20)</f>
        <v/>
      </c>
      <c r="I20" s="7" t="str">
        <f>IF($A20="","",Registro_Contenedores!K20)</f>
        <v/>
      </c>
      <c r="J20" s="5"/>
      <c r="K20" s="5"/>
      <c r="L20" s="5"/>
      <c r="M20" s="5"/>
      <c r="N20" s="1"/>
      <c r="O20" s="1"/>
      <c r="P20" s="1"/>
      <c r="Q20" s="1"/>
    </row>
    <row r="21" spans="1:17" x14ac:dyDescent="0.35">
      <c r="A21" s="7" t="str">
        <f>IF(Registro_Contenedores!A21="","",Registro_Contenedores!A21)</f>
        <v/>
      </c>
      <c r="B21" s="7" t="str">
        <f>IF($A21="","",Registro_Contenedores!B21)</f>
        <v/>
      </c>
      <c r="C21" s="7" t="str">
        <f>IF($A21="","",Registro_Contenedores!E21)</f>
        <v/>
      </c>
      <c r="D21" s="7" t="str">
        <f>IF($A21="","",Registro_Contenedores!H21)</f>
        <v/>
      </c>
      <c r="E21" s="7" t="str">
        <f>IF($A21="","",Registro_Contenedores!J21)</f>
        <v/>
      </c>
      <c r="F21" s="7" t="str">
        <f>IF($A21="","",Planif_Grupasa!G21)</f>
        <v/>
      </c>
      <c r="G21" s="7" t="str">
        <f>IF($A21="","",Planif_Grupasa!I21)</f>
        <v/>
      </c>
      <c r="H21" s="7" t="str">
        <f>IF($A21="","",Planif_Galagans!I21)</f>
        <v/>
      </c>
      <c r="I21" s="7" t="str">
        <f>IF($A21="","",Registro_Contenedores!K21)</f>
        <v/>
      </c>
      <c r="J21" s="5"/>
      <c r="K21" s="5"/>
      <c r="L21" s="5"/>
      <c r="M21" s="5"/>
      <c r="N21" s="1"/>
      <c r="O21" s="1"/>
      <c r="P21" s="1"/>
      <c r="Q21" s="1"/>
    </row>
    <row r="22" spans="1:17" x14ac:dyDescent="0.35">
      <c r="A22" s="7" t="str">
        <f>IF(Registro_Contenedores!A22="","",Registro_Contenedores!A22)</f>
        <v/>
      </c>
      <c r="B22" s="7" t="str">
        <f>IF($A22="","",Registro_Contenedores!B22)</f>
        <v/>
      </c>
      <c r="C22" s="7" t="str">
        <f>IF($A22="","",Registro_Contenedores!E22)</f>
        <v/>
      </c>
      <c r="D22" s="7" t="str">
        <f>IF($A22="","",Registro_Contenedores!H22)</f>
        <v/>
      </c>
      <c r="E22" s="7" t="str">
        <f>IF($A22="","",Registro_Contenedores!J22)</f>
        <v/>
      </c>
      <c r="F22" s="7" t="str">
        <f>IF($A22="","",Planif_Grupasa!G22)</f>
        <v/>
      </c>
      <c r="G22" s="7" t="str">
        <f>IF($A22="","",Planif_Grupasa!I22)</f>
        <v/>
      </c>
      <c r="H22" s="7" t="str">
        <f>IF($A22="","",Planif_Galagans!I22)</f>
        <v/>
      </c>
      <c r="I22" s="7" t="str">
        <f>IF($A22="","",Registro_Contenedores!K22)</f>
        <v/>
      </c>
      <c r="J22" s="5"/>
      <c r="K22" s="5"/>
      <c r="L22" s="5"/>
      <c r="M22" s="5"/>
      <c r="N22" s="1"/>
      <c r="O22" s="1"/>
      <c r="P22" s="1"/>
      <c r="Q22" s="1"/>
    </row>
    <row r="23" spans="1:17" x14ac:dyDescent="0.35">
      <c r="A23" s="7" t="str">
        <f>IF(Registro_Contenedores!A23="","",Registro_Contenedores!A23)</f>
        <v/>
      </c>
      <c r="B23" s="7" t="str">
        <f>IF($A23="","",Registro_Contenedores!B23)</f>
        <v/>
      </c>
      <c r="C23" s="7" t="str">
        <f>IF($A23="","",Registro_Contenedores!E23)</f>
        <v/>
      </c>
      <c r="D23" s="7" t="str">
        <f>IF($A23="","",Registro_Contenedores!H23)</f>
        <v/>
      </c>
      <c r="E23" s="7" t="str">
        <f>IF($A23="","",Registro_Contenedores!J23)</f>
        <v/>
      </c>
      <c r="F23" s="7" t="str">
        <f>IF($A23="","",Planif_Grupasa!G23)</f>
        <v/>
      </c>
      <c r="G23" s="7" t="str">
        <f>IF($A23="","",Planif_Grupasa!I23)</f>
        <v/>
      </c>
      <c r="H23" s="7" t="str">
        <f>IF($A23="","",Planif_Galagans!I23)</f>
        <v/>
      </c>
      <c r="I23" s="7" t="str">
        <f>IF($A23="","",Registro_Contenedores!K23)</f>
        <v/>
      </c>
      <c r="J23" s="5"/>
      <c r="K23" s="5"/>
      <c r="L23" s="5"/>
      <c r="M23" s="5"/>
      <c r="N23" s="1"/>
      <c r="O23" s="1"/>
      <c r="P23" s="1"/>
      <c r="Q23" s="1"/>
    </row>
    <row r="24" spans="1:17" x14ac:dyDescent="0.35">
      <c r="A24" s="7" t="str">
        <f>IF(Registro_Contenedores!A24="","",Registro_Contenedores!A24)</f>
        <v/>
      </c>
      <c r="B24" s="7" t="str">
        <f>IF($A24="","",Registro_Contenedores!B24)</f>
        <v/>
      </c>
      <c r="C24" s="7" t="str">
        <f>IF($A24="","",Registro_Contenedores!E24)</f>
        <v/>
      </c>
      <c r="D24" s="7" t="str">
        <f>IF($A24="","",Registro_Contenedores!H24)</f>
        <v/>
      </c>
      <c r="E24" s="7" t="str">
        <f>IF($A24="","",Registro_Contenedores!J24)</f>
        <v/>
      </c>
      <c r="F24" s="7" t="str">
        <f>IF($A24="","",Planif_Grupasa!G24)</f>
        <v/>
      </c>
      <c r="G24" s="7" t="str">
        <f>IF($A24="","",Planif_Grupasa!I24)</f>
        <v/>
      </c>
      <c r="H24" s="7" t="str">
        <f>IF($A24="","",Planif_Galagans!I24)</f>
        <v/>
      </c>
      <c r="I24" s="7" t="str">
        <f>IF($A24="","",Registro_Contenedores!K24)</f>
        <v/>
      </c>
      <c r="J24" s="5"/>
      <c r="K24" s="5"/>
      <c r="L24" s="5"/>
      <c r="M24" s="5"/>
      <c r="N24" s="1"/>
      <c r="O24" s="1"/>
      <c r="P24" s="1"/>
      <c r="Q24" s="1"/>
    </row>
    <row r="25" spans="1:17" x14ac:dyDescent="0.35">
      <c r="A25" s="7" t="str">
        <f>IF(Registro_Contenedores!A25="","",Registro_Contenedores!A25)</f>
        <v/>
      </c>
      <c r="B25" s="7" t="str">
        <f>IF($A25="","",Registro_Contenedores!B25)</f>
        <v/>
      </c>
      <c r="C25" s="7" t="str">
        <f>IF($A25="","",Registro_Contenedores!E25)</f>
        <v/>
      </c>
      <c r="D25" s="7" t="str">
        <f>IF($A25="","",Registro_Contenedores!H25)</f>
        <v/>
      </c>
      <c r="E25" s="7" t="str">
        <f>IF($A25="","",Registro_Contenedores!J25)</f>
        <v/>
      </c>
      <c r="F25" s="7" t="str">
        <f>IF($A25="","",Planif_Grupasa!G25)</f>
        <v/>
      </c>
      <c r="G25" s="7" t="str">
        <f>IF($A25="","",Planif_Grupasa!I25)</f>
        <v/>
      </c>
      <c r="H25" s="7" t="str">
        <f>IF($A25="","",Planif_Galagans!I25)</f>
        <v/>
      </c>
      <c r="I25" s="7" t="str">
        <f>IF($A25="","",Registro_Contenedores!K25)</f>
        <v/>
      </c>
      <c r="J25" s="5"/>
      <c r="K25" s="5"/>
      <c r="L25" s="5"/>
      <c r="M25" s="5"/>
      <c r="N25" s="1"/>
      <c r="O25" s="1"/>
      <c r="P25" s="1"/>
      <c r="Q25" s="1"/>
    </row>
    <row r="26" spans="1:17" x14ac:dyDescent="0.35">
      <c r="A26" s="7" t="str">
        <f>IF(Registro_Contenedores!A26="","",Registro_Contenedores!A26)</f>
        <v/>
      </c>
      <c r="B26" s="7" t="str">
        <f>IF($A26="","",Registro_Contenedores!B26)</f>
        <v/>
      </c>
      <c r="C26" s="7" t="str">
        <f>IF($A26="","",Registro_Contenedores!E26)</f>
        <v/>
      </c>
      <c r="D26" s="7" t="str">
        <f>IF($A26="","",Registro_Contenedores!H26)</f>
        <v/>
      </c>
      <c r="E26" s="7" t="str">
        <f>IF($A26="","",Registro_Contenedores!J26)</f>
        <v/>
      </c>
      <c r="F26" s="7" t="str">
        <f>IF($A26="","",Planif_Grupasa!G26)</f>
        <v/>
      </c>
      <c r="G26" s="7" t="str">
        <f>IF($A26="","",Planif_Grupasa!I26)</f>
        <v/>
      </c>
      <c r="H26" s="7" t="str">
        <f>IF($A26="","",Planif_Galagans!I26)</f>
        <v/>
      </c>
      <c r="I26" s="7" t="str">
        <f>IF($A26="","",Registro_Contenedores!K26)</f>
        <v/>
      </c>
      <c r="J26" s="5"/>
      <c r="K26" s="5"/>
      <c r="L26" s="5"/>
      <c r="M26" s="5"/>
      <c r="N26" s="1"/>
      <c r="O26" s="1"/>
      <c r="P26" s="1"/>
      <c r="Q26" s="1"/>
    </row>
    <row r="27" spans="1:17" x14ac:dyDescent="0.35">
      <c r="A27" s="7" t="str">
        <f>IF(Registro_Contenedores!A27="","",Registro_Contenedores!A27)</f>
        <v/>
      </c>
      <c r="B27" s="7" t="str">
        <f>IF($A27="","",Registro_Contenedores!B27)</f>
        <v/>
      </c>
      <c r="C27" s="7" t="str">
        <f>IF($A27="","",Registro_Contenedores!E27)</f>
        <v/>
      </c>
      <c r="D27" s="7" t="str">
        <f>IF($A27="","",Registro_Contenedores!H27)</f>
        <v/>
      </c>
      <c r="E27" s="7" t="str">
        <f>IF($A27="","",Registro_Contenedores!J27)</f>
        <v/>
      </c>
      <c r="F27" s="7" t="str">
        <f>IF($A27="","",Planif_Grupasa!G27)</f>
        <v/>
      </c>
      <c r="G27" s="7" t="str">
        <f>IF($A27="","",Planif_Grupasa!I27)</f>
        <v/>
      </c>
      <c r="H27" s="7" t="str">
        <f>IF($A27="","",Planif_Galagans!I27)</f>
        <v/>
      </c>
      <c r="I27" s="7" t="str">
        <f>IF($A27="","",Registro_Contenedores!K27)</f>
        <v/>
      </c>
      <c r="J27" s="5"/>
      <c r="K27" s="5"/>
      <c r="L27" s="5"/>
      <c r="M27" s="5"/>
      <c r="N27" s="1"/>
      <c r="O27" s="1"/>
      <c r="P27" s="1"/>
      <c r="Q27" s="1"/>
    </row>
    <row r="28" spans="1:17" x14ac:dyDescent="0.35">
      <c r="A28" s="7" t="str">
        <f>IF(Registro_Contenedores!A28="","",Registro_Contenedores!A28)</f>
        <v/>
      </c>
      <c r="B28" s="7" t="str">
        <f>IF($A28="","",Registro_Contenedores!B28)</f>
        <v/>
      </c>
      <c r="C28" s="7" t="str">
        <f>IF($A28="","",Registro_Contenedores!E28)</f>
        <v/>
      </c>
      <c r="D28" s="7" t="str">
        <f>IF($A28="","",Registro_Contenedores!H28)</f>
        <v/>
      </c>
      <c r="E28" s="7" t="str">
        <f>IF($A28="","",Registro_Contenedores!J28)</f>
        <v/>
      </c>
      <c r="F28" s="7" t="str">
        <f>IF($A28="","",Planif_Grupasa!G28)</f>
        <v/>
      </c>
      <c r="G28" s="7" t="str">
        <f>IF($A28="","",Planif_Grupasa!I28)</f>
        <v/>
      </c>
      <c r="H28" s="7" t="str">
        <f>IF($A28="","",Planif_Galagans!I28)</f>
        <v/>
      </c>
      <c r="I28" s="7" t="str">
        <f>IF($A28="","",Registro_Contenedores!K28)</f>
        <v/>
      </c>
      <c r="J28" s="5"/>
      <c r="K28" s="5"/>
      <c r="L28" s="5"/>
      <c r="M28" s="5"/>
      <c r="N28" s="1"/>
      <c r="O28" s="1"/>
      <c r="P28" s="1"/>
      <c r="Q28" s="1"/>
    </row>
    <row r="29" spans="1:17" x14ac:dyDescent="0.35">
      <c r="A29" s="7" t="str">
        <f>IF(Registro_Contenedores!A29="","",Registro_Contenedores!A29)</f>
        <v/>
      </c>
      <c r="B29" s="7" t="str">
        <f>IF($A29="","",Registro_Contenedores!B29)</f>
        <v/>
      </c>
      <c r="C29" s="7" t="str">
        <f>IF($A29="","",Registro_Contenedores!E29)</f>
        <v/>
      </c>
      <c r="D29" s="7" t="str">
        <f>IF($A29="","",Registro_Contenedores!H29)</f>
        <v/>
      </c>
      <c r="E29" s="7" t="str">
        <f>IF($A29="","",Registro_Contenedores!J29)</f>
        <v/>
      </c>
      <c r="F29" s="7" t="str">
        <f>IF($A29="","",Planif_Grupasa!G29)</f>
        <v/>
      </c>
      <c r="G29" s="7" t="str">
        <f>IF($A29="","",Planif_Grupasa!I29)</f>
        <v/>
      </c>
      <c r="H29" s="7" t="str">
        <f>IF($A29="","",Planif_Galagans!I29)</f>
        <v/>
      </c>
      <c r="I29" s="7" t="str">
        <f>IF($A29="","",Registro_Contenedores!K29)</f>
        <v/>
      </c>
      <c r="J29" s="5"/>
      <c r="K29" s="5"/>
      <c r="L29" s="5"/>
      <c r="M29" s="5"/>
      <c r="N29" s="1"/>
      <c r="O29" s="1"/>
      <c r="P29" s="1"/>
      <c r="Q29" s="1"/>
    </row>
    <row r="30" spans="1:17" x14ac:dyDescent="0.35">
      <c r="A30" s="7" t="str">
        <f>IF(Registro_Contenedores!A30="","",Registro_Contenedores!A30)</f>
        <v/>
      </c>
      <c r="B30" s="7" t="str">
        <f>IF($A30="","",Registro_Contenedores!B30)</f>
        <v/>
      </c>
      <c r="C30" s="7" t="str">
        <f>IF($A30="","",Registro_Contenedores!E30)</f>
        <v/>
      </c>
      <c r="D30" s="7" t="str">
        <f>IF($A30="","",Registro_Contenedores!H30)</f>
        <v/>
      </c>
      <c r="E30" s="7" t="str">
        <f>IF($A30="","",Registro_Contenedores!J30)</f>
        <v/>
      </c>
      <c r="F30" s="7" t="str">
        <f>IF($A30="","",Planif_Grupasa!G30)</f>
        <v/>
      </c>
      <c r="G30" s="7" t="str">
        <f>IF($A30="","",Planif_Grupasa!I30)</f>
        <v/>
      </c>
      <c r="H30" s="7" t="str">
        <f>IF($A30="","",Planif_Galagans!I30)</f>
        <v/>
      </c>
      <c r="I30" s="7" t="str">
        <f>IF($A30="","",Registro_Contenedores!K30)</f>
        <v/>
      </c>
      <c r="J30" s="5"/>
      <c r="K30" s="5"/>
      <c r="L30" s="5"/>
      <c r="M30" s="5"/>
      <c r="N30" s="1"/>
      <c r="O30" s="1"/>
      <c r="P30" s="1"/>
      <c r="Q30" s="1"/>
    </row>
    <row r="31" spans="1:17" x14ac:dyDescent="0.35">
      <c r="A31" s="7" t="str">
        <f>IF(Registro_Contenedores!A31="","",Registro_Contenedores!A31)</f>
        <v/>
      </c>
      <c r="B31" s="7" t="str">
        <f>IF($A31="","",Registro_Contenedores!B31)</f>
        <v/>
      </c>
      <c r="C31" s="7" t="str">
        <f>IF($A31="","",Registro_Contenedores!E31)</f>
        <v/>
      </c>
      <c r="D31" s="7" t="str">
        <f>IF($A31="","",Registro_Contenedores!H31)</f>
        <v/>
      </c>
      <c r="E31" s="7" t="str">
        <f>IF($A31="","",Registro_Contenedores!J31)</f>
        <v/>
      </c>
      <c r="F31" s="7" t="str">
        <f>IF($A31="","",Planif_Grupasa!G31)</f>
        <v/>
      </c>
      <c r="G31" s="7" t="str">
        <f>IF($A31="","",Planif_Grupasa!I31)</f>
        <v/>
      </c>
      <c r="H31" s="7" t="str">
        <f>IF($A31="","",Planif_Galagans!I31)</f>
        <v/>
      </c>
      <c r="I31" s="7" t="str">
        <f>IF($A31="","",Registro_Contenedores!K31)</f>
        <v/>
      </c>
      <c r="J31" s="5"/>
      <c r="K31" s="5"/>
      <c r="L31" s="5"/>
      <c r="M31" s="5"/>
      <c r="N31" s="1"/>
      <c r="O31" s="1"/>
      <c r="P31" s="1"/>
      <c r="Q31" s="1"/>
    </row>
    <row r="32" spans="1:17" x14ac:dyDescent="0.35">
      <c r="A32" s="7" t="str">
        <f>IF(Registro_Contenedores!A32="","",Registro_Contenedores!A32)</f>
        <v/>
      </c>
      <c r="B32" s="7" t="str">
        <f>IF($A32="","",Registro_Contenedores!B32)</f>
        <v/>
      </c>
      <c r="C32" s="7" t="str">
        <f>IF($A32="","",Registro_Contenedores!E32)</f>
        <v/>
      </c>
      <c r="D32" s="7" t="str">
        <f>IF($A32="","",Registro_Contenedores!H32)</f>
        <v/>
      </c>
      <c r="E32" s="7" t="str">
        <f>IF($A32="","",Registro_Contenedores!J32)</f>
        <v/>
      </c>
      <c r="F32" s="7" t="str">
        <f>IF($A32="","",Planif_Grupasa!G32)</f>
        <v/>
      </c>
      <c r="G32" s="7" t="str">
        <f>IF($A32="","",Planif_Grupasa!I32)</f>
        <v/>
      </c>
      <c r="H32" s="7" t="str">
        <f>IF($A32="","",Planif_Galagans!I32)</f>
        <v/>
      </c>
      <c r="I32" s="7" t="str">
        <f>IF($A32="","",Registro_Contenedores!K32)</f>
        <v/>
      </c>
      <c r="J32" s="5"/>
      <c r="K32" s="5"/>
      <c r="L32" s="5"/>
      <c r="M32" s="5"/>
      <c r="N32" s="1"/>
      <c r="O32" s="1"/>
      <c r="P32" s="1"/>
      <c r="Q32" s="1"/>
    </row>
    <row r="33" spans="1:17" x14ac:dyDescent="0.35">
      <c r="A33" s="7" t="str">
        <f>IF(Registro_Contenedores!A33="","",Registro_Contenedores!A33)</f>
        <v/>
      </c>
      <c r="B33" s="7" t="str">
        <f>IF($A33="","",Registro_Contenedores!B33)</f>
        <v/>
      </c>
      <c r="C33" s="7" t="str">
        <f>IF($A33="","",Registro_Contenedores!E33)</f>
        <v/>
      </c>
      <c r="D33" s="7" t="str">
        <f>IF($A33="","",Registro_Contenedores!H33)</f>
        <v/>
      </c>
      <c r="E33" s="7" t="str">
        <f>IF($A33="","",Registro_Contenedores!J33)</f>
        <v/>
      </c>
      <c r="F33" s="7" t="str">
        <f>IF($A33="","",Planif_Grupasa!G33)</f>
        <v/>
      </c>
      <c r="G33" s="7" t="str">
        <f>IF($A33="","",Planif_Grupasa!I33)</f>
        <v/>
      </c>
      <c r="H33" s="7" t="str">
        <f>IF($A33="","",Planif_Galagans!I33)</f>
        <v/>
      </c>
      <c r="I33" s="7" t="str">
        <f>IF($A33="","",Registro_Contenedores!K33)</f>
        <v/>
      </c>
      <c r="J33" s="5"/>
      <c r="K33" s="5"/>
      <c r="L33" s="5"/>
      <c r="M33" s="5"/>
      <c r="N33" s="1"/>
      <c r="O33" s="1"/>
      <c r="P33" s="1"/>
      <c r="Q33" s="1"/>
    </row>
    <row r="34" spans="1:17" x14ac:dyDescent="0.35">
      <c r="A34" s="7" t="str">
        <f>IF(Registro_Contenedores!A34="","",Registro_Contenedores!A34)</f>
        <v/>
      </c>
      <c r="B34" s="7" t="str">
        <f>IF($A34="","",Registro_Contenedores!B34)</f>
        <v/>
      </c>
      <c r="C34" s="7" t="str">
        <f>IF($A34="","",Registro_Contenedores!E34)</f>
        <v/>
      </c>
      <c r="D34" s="7" t="str">
        <f>IF($A34="","",Registro_Contenedores!H34)</f>
        <v/>
      </c>
      <c r="E34" s="7" t="str">
        <f>IF($A34="","",Registro_Contenedores!J34)</f>
        <v/>
      </c>
      <c r="F34" s="7" t="str">
        <f>IF($A34="","",Planif_Grupasa!G34)</f>
        <v/>
      </c>
      <c r="G34" s="7" t="str">
        <f>IF($A34="","",Planif_Grupasa!I34)</f>
        <v/>
      </c>
      <c r="H34" s="7" t="str">
        <f>IF($A34="","",Planif_Galagans!I34)</f>
        <v/>
      </c>
      <c r="I34" s="7" t="str">
        <f>IF($A34="","",Registro_Contenedores!K34)</f>
        <v/>
      </c>
      <c r="J34" s="5"/>
      <c r="K34" s="5"/>
      <c r="L34" s="5"/>
      <c r="M34" s="5"/>
      <c r="N34" s="1"/>
      <c r="O34" s="1"/>
      <c r="P34" s="1"/>
      <c r="Q34" s="1"/>
    </row>
    <row r="35" spans="1:17" x14ac:dyDescent="0.35">
      <c r="A35" s="7" t="str">
        <f>IF(Registro_Contenedores!A35="","",Registro_Contenedores!A35)</f>
        <v/>
      </c>
      <c r="B35" s="7" t="str">
        <f>IF($A35="","",Registro_Contenedores!B35)</f>
        <v/>
      </c>
      <c r="C35" s="7" t="str">
        <f>IF($A35="","",Registro_Contenedores!E35)</f>
        <v/>
      </c>
      <c r="D35" s="7" t="str">
        <f>IF($A35="","",Registro_Contenedores!H35)</f>
        <v/>
      </c>
      <c r="E35" s="7" t="str">
        <f>IF($A35="","",Registro_Contenedores!J35)</f>
        <v/>
      </c>
      <c r="F35" s="7" t="str">
        <f>IF($A35="","",Planif_Grupasa!G35)</f>
        <v/>
      </c>
      <c r="G35" s="7" t="str">
        <f>IF($A35="","",Planif_Grupasa!I35)</f>
        <v/>
      </c>
      <c r="H35" s="7" t="str">
        <f>IF($A35="","",Planif_Galagans!I35)</f>
        <v/>
      </c>
      <c r="I35" s="7" t="str">
        <f>IF($A35="","",Registro_Contenedores!K35)</f>
        <v/>
      </c>
      <c r="J35" s="5"/>
      <c r="K35" s="5"/>
      <c r="L35" s="5"/>
      <c r="M35" s="5"/>
      <c r="N35" s="1"/>
      <c r="O35" s="1"/>
      <c r="P35" s="1"/>
      <c r="Q35" s="1"/>
    </row>
    <row r="36" spans="1:17" x14ac:dyDescent="0.35">
      <c r="A36" s="7" t="str">
        <f>IF(Registro_Contenedores!A36="","",Registro_Contenedores!A36)</f>
        <v/>
      </c>
      <c r="B36" s="7" t="str">
        <f>IF($A36="","",Registro_Contenedores!B36)</f>
        <v/>
      </c>
      <c r="C36" s="7" t="str">
        <f>IF($A36="","",Registro_Contenedores!E36)</f>
        <v/>
      </c>
      <c r="D36" s="7" t="str">
        <f>IF($A36="","",Registro_Contenedores!H36)</f>
        <v/>
      </c>
      <c r="E36" s="7" t="str">
        <f>IF($A36="","",Registro_Contenedores!J36)</f>
        <v/>
      </c>
      <c r="F36" s="7" t="str">
        <f>IF($A36="","",Planif_Grupasa!G36)</f>
        <v/>
      </c>
      <c r="G36" s="7" t="str">
        <f>IF($A36="","",Planif_Grupasa!I36)</f>
        <v/>
      </c>
      <c r="H36" s="7" t="str">
        <f>IF($A36="","",Planif_Galagans!I36)</f>
        <v/>
      </c>
      <c r="I36" s="7" t="str">
        <f>IF($A36="","",Registro_Contenedores!K36)</f>
        <v/>
      </c>
      <c r="J36" s="5"/>
      <c r="K36" s="5"/>
      <c r="L36" s="5"/>
      <c r="M36" s="5"/>
      <c r="N36" s="1"/>
      <c r="O36" s="1"/>
      <c r="P36" s="1"/>
      <c r="Q36" s="1"/>
    </row>
    <row r="37" spans="1:17" x14ac:dyDescent="0.35">
      <c r="A37" s="7" t="str">
        <f>IF(Registro_Contenedores!A37="","",Registro_Contenedores!A37)</f>
        <v/>
      </c>
      <c r="B37" s="7" t="str">
        <f>IF($A37="","",Registro_Contenedores!B37)</f>
        <v/>
      </c>
      <c r="C37" s="7" t="str">
        <f>IF($A37="","",Registro_Contenedores!E37)</f>
        <v/>
      </c>
      <c r="D37" s="7" t="str">
        <f>IF($A37="","",Registro_Contenedores!H37)</f>
        <v/>
      </c>
      <c r="E37" s="7" t="str">
        <f>IF($A37="","",Registro_Contenedores!J37)</f>
        <v/>
      </c>
      <c r="F37" s="7" t="str">
        <f>IF($A37="","",Planif_Grupasa!G37)</f>
        <v/>
      </c>
      <c r="G37" s="7" t="str">
        <f>IF($A37="","",Planif_Grupasa!I37)</f>
        <v/>
      </c>
      <c r="H37" s="7" t="str">
        <f>IF($A37="","",Planif_Galagans!I37)</f>
        <v/>
      </c>
      <c r="I37" s="7" t="str">
        <f>IF($A37="","",Registro_Contenedores!K37)</f>
        <v/>
      </c>
      <c r="J37" s="5"/>
      <c r="K37" s="5"/>
      <c r="L37" s="5"/>
      <c r="M37" s="5"/>
      <c r="N37" s="1"/>
      <c r="O37" s="1"/>
      <c r="P37" s="1"/>
      <c r="Q37" s="1"/>
    </row>
    <row r="38" spans="1:17" x14ac:dyDescent="0.35">
      <c r="A38" s="7" t="str">
        <f>IF(Registro_Contenedores!A38="","",Registro_Contenedores!A38)</f>
        <v/>
      </c>
      <c r="B38" s="7" t="str">
        <f>IF($A38="","",Registro_Contenedores!B38)</f>
        <v/>
      </c>
      <c r="C38" s="7" t="str">
        <f>IF($A38="","",Registro_Contenedores!E38)</f>
        <v/>
      </c>
      <c r="D38" s="7" t="str">
        <f>IF($A38="","",Registro_Contenedores!H38)</f>
        <v/>
      </c>
      <c r="E38" s="7" t="str">
        <f>IF($A38="","",Registro_Contenedores!J38)</f>
        <v/>
      </c>
      <c r="F38" s="7" t="str">
        <f>IF($A38="","",Planif_Grupasa!G38)</f>
        <v/>
      </c>
      <c r="G38" s="7" t="str">
        <f>IF($A38="","",Planif_Grupasa!I38)</f>
        <v/>
      </c>
      <c r="H38" s="7" t="str">
        <f>IF($A38="","",Planif_Galagans!I38)</f>
        <v/>
      </c>
      <c r="I38" s="7" t="str">
        <f>IF($A38="","",Registro_Contenedores!K38)</f>
        <v/>
      </c>
      <c r="J38" s="5"/>
      <c r="K38" s="5"/>
      <c r="L38" s="5"/>
      <c r="M38" s="5"/>
      <c r="N38" s="1"/>
      <c r="O38" s="1"/>
      <c r="P38" s="1"/>
      <c r="Q38" s="1"/>
    </row>
    <row r="39" spans="1:17" x14ac:dyDescent="0.35">
      <c r="A39" s="7" t="str">
        <f>IF(Registro_Contenedores!A39="","",Registro_Contenedores!A39)</f>
        <v/>
      </c>
      <c r="B39" s="7" t="str">
        <f>IF($A39="","",Registro_Contenedores!B39)</f>
        <v/>
      </c>
      <c r="C39" s="7" t="str">
        <f>IF($A39="","",Registro_Contenedores!E39)</f>
        <v/>
      </c>
      <c r="D39" s="7" t="str">
        <f>IF($A39="","",Registro_Contenedores!H39)</f>
        <v/>
      </c>
      <c r="E39" s="7" t="str">
        <f>IF($A39="","",Registro_Contenedores!J39)</f>
        <v/>
      </c>
      <c r="F39" s="7" t="str">
        <f>IF($A39="","",Planif_Grupasa!G39)</f>
        <v/>
      </c>
      <c r="G39" s="7" t="str">
        <f>IF($A39="","",Planif_Grupasa!I39)</f>
        <v/>
      </c>
      <c r="H39" s="7" t="str">
        <f>IF($A39="","",Planif_Galagans!I39)</f>
        <v/>
      </c>
      <c r="I39" s="7" t="str">
        <f>IF($A39="","",Registro_Contenedores!K39)</f>
        <v/>
      </c>
      <c r="J39" s="5"/>
      <c r="K39" s="5"/>
      <c r="L39" s="5"/>
      <c r="M39" s="5"/>
      <c r="N39" s="1"/>
      <c r="O39" s="1"/>
      <c r="P39" s="1"/>
      <c r="Q39" s="1"/>
    </row>
    <row r="40" spans="1:17" x14ac:dyDescent="0.35">
      <c r="A40" s="7" t="str">
        <f>IF(Registro_Contenedores!A40="","",Registro_Contenedores!A40)</f>
        <v/>
      </c>
      <c r="B40" s="7" t="str">
        <f>IF($A40="","",Registro_Contenedores!B40)</f>
        <v/>
      </c>
      <c r="C40" s="7" t="str">
        <f>IF($A40="","",Registro_Contenedores!E40)</f>
        <v/>
      </c>
      <c r="D40" s="7" t="str">
        <f>IF($A40="","",Registro_Contenedores!H40)</f>
        <v/>
      </c>
      <c r="E40" s="7" t="str">
        <f>IF($A40="","",Registro_Contenedores!J40)</f>
        <v/>
      </c>
      <c r="F40" s="7" t="str">
        <f>IF($A40="","",Planif_Grupasa!G40)</f>
        <v/>
      </c>
      <c r="G40" s="7" t="str">
        <f>IF($A40="","",Planif_Grupasa!I40)</f>
        <v/>
      </c>
      <c r="H40" s="7" t="str">
        <f>IF($A40="","",Planif_Galagans!I40)</f>
        <v/>
      </c>
      <c r="I40" s="7" t="str">
        <f>IF($A40="","",Registro_Contenedores!K40)</f>
        <v/>
      </c>
      <c r="J40" s="5"/>
      <c r="K40" s="5"/>
      <c r="L40" s="5"/>
      <c r="M40" s="5"/>
      <c r="N40" s="1"/>
      <c r="O40" s="1"/>
      <c r="P40" s="1"/>
      <c r="Q40" s="1"/>
    </row>
    <row r="41" spans="1:17" x14ac:dyDescent="0.35">
      <c r="A41" s="7" t="str">
        <f>IF(Registro_Contenedores!A41="","",Registro_Contenedores!A41)</f>
        <v/>
      </c>
      <c r="B41" s="7" t="str">
        <f>IF($A41="","",Registro_Contenedores!B41)</f>
        <v/>
      </c>
      <c r="C41" s="7" t="str">
        <f>IF($A41="","",Registro_Contenedores!E41)</f>
        <v/>
      </c>
      <c r="D41" s="7" t="str">
        <f>IF($A41="","",Registro_Contenedores!H41)</f>
        <v/>
      </c>
      <c r="E41" s="7" t="str">
        <f>IF($A41="","",Registro_Contenedores!J41)</f>
        <v/>
      </c>
      <c r="F41" s="7" t="str">
        <f>IF($A41="","",Planif_Grupasa!G41)</f>
        <v/>
      </c>
      <c r="G41" s="7" t="str">
        <f>IF($A41="","",Planif_Grupasa!I41)</f>
        <v/>
      </c>
      <c r="H41" s="7" t="str">
        <f>IF($A41="","",Planif_Galagans!I41)</f>
        <v/>
      </c>
      <c r="I41" s="7" t="str">
        <f>IF($A41="","",Registro_Contenedores!K41)</f>
        <v/>
      </c>
      <c r="J41" s="5"/>
      <c r="K41" s="5"/>
      <c r="L41" s="5"/>
      <c r="M41" s="5"/>
      <c r="N41" s="1"/>
      <c r="O41" s="1"/>
      <c r="P41" s="1"/>
      <c r="Q41" s="1"/>
    </row>
    <row r="42" spans="1:17" x14ac:dyDescent="0.35">
      <c r="A42" s="7" t="str">
        <f>IF(Registro_Contenedores!A42="","",Registro_Contenedores!A42)</f>
        <v/>
      </c>
      <c r="B42" s="7" t="str">
        <f>IF($A42="","",Registro_Contenedores!B42)</f>
        <v/>
      </c>
      <c r="C42" s="7" t="str">
        <f>IF($A42="","",Registro_Contenedores!E42)</f>
        <v/>
      </c>
      <c r="D42" s="7" t="str">
        <f>IF($A42="","",Registro_Contenedores!H42)</f>
        <v/>
      </c>
      <c r="E42" s="7" t="str">
        <f>IF($A42="","",Registro_Contenedores!J42)</f>
        <v/>
      </c>
      <c r="F42" s="7" t="str">
        <f>IF($A42="","",Planif_Grupasa!G42)</f>
        <v/>
      </c>
      <c r="G42" s="7" t="str">
        <f>IF($A42="","",Planif_Grupasa!I42)</f>
        <v/>
      </c>
      <c r="H42" s="7" t="str">
        <f>IF($A42="","",Planif_Galagans!I42)</f>
        <v/>
      </c>
      <c r="I42" s="7" t="str">
        <f>IF($A42="","",Registro_Contenedores!K42)</f>
        <v/>
      </c>
      <c r="J42" s="5"/>
      <c r="K42" s="5"/>
      <c r="L42" s="5"/>
      <c r="M42" s="5"/>
      <c r="N42" s="1"/>
      <c r="O42" s="1"/>
      <c r="P42" s="1"/>
      <c r="Q42" s="1"/>
    </row>
    <row r="43" spans="1:17" x14ac:dyDescent="0.35">
      <c r="A43" s="7" t="str">
        <f>IF(Registro_Contenedores!A43="","",Registro_Contenedores!A43)</f>
        <v/>
      </c>
      <c r="B43" s="7" t="str">
        <f>IF($A43="","",Registro_Contenedores!B43)</f>
        <v/>
      </c>
      <c r="C43" s="7" t="str">
        <f>IF($A43="","",Registro_Contenedores!E43)</f>
        <v/>
      </c>
      <c r="D43" s="7" t="str">
        <f>IF($A43="","",Registro_Contenedores!H43)</f>
        <v/>
      </c>
      <c r="E43" s="7" t="str">
        <f>IF($A43="","",Registro_Contenedores!J43)</f>
        <v/>
      </c>
      <c r="F43" s="7" t="str">
        <f>IF($A43="","",Planif_Grupasa!G43)</f>
        <v/>
      </c>
      <c r="G43" s="7" t="str">
        <f>IF($A43="","",Planif_Grupasa!I43)</f>
        <v/>
      </c>
      <c r="H43" s="7" t="str">
        <f>IF($A43="","",Planif_Galagans!I43)</f>
        <v/>
      </c>
      <c r="I43" s="7" t="str">
        <f>IF($A43="","",Registro_Contenedores!K43)</f>
        <v/>
      </c>
      <c r="J43" s="5"/>
      <c r="K43" s="5"/>
      <c r="L43" s="5"/>
      <c r="M43" s="5"/>
      <c r="N43" s="1"/>
      <c r="O43" s="1"/>
      <c r="P43" s="1"/>
      <c r="Q43" s="1"/>
    </row>
    <row r="44" spans="1:17" x14ac:dyDescent="0.35">
      <c r="A44" s="7" t="str">
        <f>IF(Registro_Contenedores!A44="","",Registro_Contenedores!A44)</f>
        <v/>
      </c>
      <c r="B44" s="7" t="str">
        <f>IF($A44="","",Registro_Contenedores!B44)</f>
        <v/>
      </c>
      <c r="C44" s="7" t="str">
        <f>IF($A44="","",Registro_Contenedores!E44)</f>
        <v/>
      </c>
      <c r="D44" s="7" t="str">
        <f>IF($A44="","",Registro_Contenedores!H44)</f>
        <v/>
      </c>
      <c r="E44" s="7" t="str">
        <f>IF($A44="","",Registro_Contenedores!J44)</f>
        <v/>
      </c>
      <c r="F44" s="7" t="str">
        <f>IF($A44="","",Planif_Grupasa!G44)</f>
        <v/>
      </c>
      <c r="G44" s="7" t="str">
        <f>IF($A44="","",Planif_Grupasa!I44)</f>
        <v/>
      </c>
      <c r="H44" s="7" t="str">
        <f>IF($A44="","",Planif_Galagans!I44)</f>
        <v/>
      </c>
      <c r="I44" s="7" t="str">
        <f>IF($A44="","",Registro_Contenedores!K44)</f>
        <v/>
      </c>
      <c r="J44" s="5"/>
      <c r="K44" s="5"/>
      <c r="L44" s="5"/>
      <c r="M44" s="5"/>
      <c r="N44" s="1"/>
      <c r="O44" s="1"/>
      <c r="P44" s="1"/>
      <c r="Q44" s="1"/>
    </row>
    <row r="45" spans="1:17" x14ac:dyDescent="0.35">
      <c r="A45" s="7" t="str">
        <f>IF(Registro_Contenedores!A45="","",Registro_Contenedores!A45)</f>
        <v/>
      </c>
      <c r="B45" s="7" t="str">
        <f>IF($A45="","",Registro_Contenedores!B45)</f>
        <v/>
      </c>
      <c r="C45" s="7" t="str">
        <f>IF($A45="","",Registro_Contenedores!E45)</f>
        <v/>
      </c>
      <c r="D45" s="7" t="str">
        <f>IF($A45="","",Registro_Contenedores!H45)</f>
        <v/>
      </c>
      <c r="E45" s="7" t="str">
        <f>IF($A45="","",Registro_Contenedores!J45)</f>
        <v/>
      </c>
      <c r="F45" s="7" t="str">
        <f>IF($A45="","",Planif_Grupasa!G45)</f>
        <v/>
      </c>
      <c r="G45" s="7" t="str">
        <f>IF($A45="","",Planif_Grupasa!I45)</f>
        <v/>
      </c>
      <c r="H45" s="7" t="str">
        <f>IF($A45="","",Planif_Galagans!I45)</f>
        <v/>
      </c>
      <c r="I45" s="7" t="str">
        <f>IF($A45="","",Registro_Contenedores!K45)</f>
        <v/>
      </c>
      <c r="J45" s="5"/>
      <c r="K45" s="5"/>
      <c r="L45" s="5"/>
      <c r="M45" s="5"/>
      <c r="N45" s="1"/>
      <c r="O45" s="1"/>
      <c r="P45" s="1"/>
      <c r="Q45" s="1"/>
    </row>
    <row r="46" spans="1:17" x14ac:dyDescent="0.35">
      <c r="A46" s="7" t="str">
        <f>IF(Registro_Contenedores!A46="","",Registro_Contenedores!A46)</f>
        <v/>
      </c>
      <c r="B46" s="7" t="str">
        <f>IF($A46="","",Registro_Contenedores!B46)</f>
        <v/>
      </c>
      <c r="C46" s="7" t="str">
        <f>IF($A46="","",Registro_Contenedores!E46)</f>
        <v/>
      </c>
      <c r="D46" s="7" t="str">
        <f>IF($A46="","",Registro_Contenedores!H46)</f>
        <v/>
      </c>
      <c r="E46" s="7" t="str">
        <f>IF($A46="","",Registro_Contenedores!J46)</f>
        <v/>
      </c>
      <c r="F46" s="7" t="str">
        <f>IF($A46="","",Planif_Grupasa!G46)</f>
        <v/>
      </c>
      <c r="G46" s="7" t="str">
        <f>IF($A46="","",Planif_Grupasa!I46)</f>
        <v/>
      </c>
      <c r="H46" s="7" t="str">
        <f>IF($A46="","",Planif_Galagans!I46)</f>
        <v/>
      </c>
      <c r="I46" s="7" t="str">
        <f>IF($A46="","",Registro_Contenedores!K46)</f>
        <v/>
      </c>
      <c r="J46" s="5"/>
      <c r="K46" s="5"/>
      <c r="L46" s="5"/>
      <c r="M46" s="5"/>
      <c r="N46" s="1"/>
      <c r="O46" s="1"/>
      <c r="P46" s="1"/>
      <c r="Q46" s="1"/>
    </row>
    <row r="47" spans="1:17" x14ac:dyDescent="0.35">
      <c r="A47" s="7" t="str">
        <f>IF(Registro_Contenedores!A47="","",Registro_Contenedores!A47)</f>
        <v/>
      </c>
      <c r="B47" s="7" t="str">
        <f>IF($A47="","",Registro_Contenedores!B47)</f>
        <v/>
      </c>
      <c r="C47" s="7" t="str">
        <f>IF($A47="","",Registro_Contenedores!E47)</f>
        <v/>
      </c>
      <c r="D47" s="7" t="str">
        <f>IF($A47="","",Registro_Contenedores!H47)</f>
        <v/>
      </c>
      <c r="E47" s="7" t="str">
        <f>IF($A47="","",Registro_Contenedores!J47)</f>
        <v/>
      </c>
      <c r="F47" s="7" t="str">
        <f>IF($A47="","",Planif_Grupasa!G47)</f>
        <v/>
      </c>
      <c r="G47" s="7" t="str">
        <f>IF($A47="","",Planif_Grupasa!I47)</f>
        <v/>
      </c>
      <c r="H47" s="7" t="str">
        <f>IF($A47="","",Planif_Galagans!I47)</f>
        <v/>
      </c>
      <c r="I47" s="7" t="str">
        <f>IF($A47="","",Registro_Contenedores!K47)</f>
        <v/>
      </c>
      <c r="J47" s="5"/>
      <c r="K47" s="5"/>
      <c r="L47" s="5"/>
      <c r="M47" s="5"/>
      <c r="N47" s="1"/>
      <c r="O47" s="1"/>
      <c r="P47" s="1"/>
      <c r="Q47" s="1"/>
    </row>
    <row r="48" spans="1:17" x14ac:dyDescent="0.35">
      <c r="A48" s="7" t="str">
        <f>IF(Registro_Contenedores!A48="","",Registro_Contenedores!A48)</f>
        <v/>
      </c>
      <c r="B48" s="7" t="str">
        <f>IF($A48="","",Registro_Contenedores!B48)</f>
        <v/>
      </c>
      <c r="C48" s="7" t="str">
        <f>IF($A48="","",Registro_Contenedores!E48)</f>
        <v/>
      </c>
      <c r="D48" s="7" t="str">
        <f>IF($A48="","",Registro_Contenedores!H48)</f>
        <v/>
      </c>
      <c r="E48" s="7" t="str">
        <f>IF($A48="","",Registro_Contenedores!J48)</f>
        <v/>
      </c>
      <c r="F48" s="7" t="str">
        <f>IF($A48="","",Planif_Grupasa!G48)</f>
        <v/>
      </c>
      <c r="G48" s="7" t="str">
        <f>IF($A48="","",Planif_Grupasa!I48)</f>
        <v/>
      </c>
      <c r="H48" s="7" t="str">
        <f>IF($A48="","",Planif_Galagans!I48)</f>
        <v/>
      </c>
      <c r="I48" s="7" t="str">
        <f>IF($A48="","",Registro_Contenedores!K48)</f>
        <v/>
      </c>
      <c r="J48" s="5"/>
      <c r="K48" s="5"/>
      <c r="L48" s="5"/>
      <c r="M48" s="5"/>
      <c r="N48" s="1"/>
      <c r="O48" s="1"/>
      <c r="P48" s="1"/>
      <c r="Q48" s="1"/>
    </row>
    <row r="49" spans="1:17" x14ac:dyDescent="0.35">
      <c r="A49" s="7" t="str">
        <f>IF(Registro_Contenedores!A49="","",Registro_Contenedores!A49)</f>
        <v/>
      </c>
      <c r="B49" s="7" t="str">
        <f>IF($A49="","",Registro_Contenedores!B49)</f>
        <v/>
      </c>
      <c r="C49" s="7" t="str">
        <f>IF($A49="","",Registro_Contenedores!E49)</f>
        <v/>
      </c>
      <c r="D49" s="7" t="str">
        <f>IF($A49="","",Registro_Contenedores!H49)</f>
        <v/>
      </c>
      <c r="E49" s="7" t="str">
        <f>IF($A49="","",Registro_Contenedores!J49)</f>
        <v/>
      </c>
      <c r="F49" s="7" t="str">
        <f>IF($A49="","",Planif_Grupasa!G49)</f>
        <v/>
      </c>
      <c r="G49" s="7" t="str">
        <f>IF($A49="","",Planif_Grupasa!I49)</f>
        <v/>
      </c>
      <c r="H49" s="7" t="str">
        <f>IF($A49="","",Planif_Galagans!I49)</f>
        <v/>
      </c>
      <c r="I49" s="7" t="str">
        <f>IF($A49="","",Registro_Contenedores!K49)</f>
        <v/>
      </c>
      <c r="J49" s="5"/>
      <c r="K49" s="5"/>
      <c r="L49" s="5"/>
      <c r="M49" s="5"/>
      <c r="N49" s="1"/>
      <c r="O49" s="1"/>
      <c r="P49" s="1"/>
      <c r="Q49" s="1"/>
    </row>
    <row r="50" spans="1:17" x14ac:dyDescent="0.35">
      <c r="A50" s="7" t="str">
        <f>IF(Registro_Contenedores!A50="","",Registro_Contenedores!A50)</f>
        <v/>
      </c>
      <c r="B50" s="7" t="str">
        <f>IF($A50="","",Registro_Contenedores!B50)</f>
        <v/>
      </c>
      <c r="C50" s="7" t="str">
        <f>IF($A50="","",Registro_Contenedores!E50)</f>
        <v/>
      </c>
      <c r="D50" s="7" t="str">
        <f>IF($A50="","",Registro_Contenedores!H50)</f>
        <v/>
      </c>
      <c r="E50" s="7" t="str">
        <f>IF($A50="","",Registro_Contenedores!J50)</f>
        <v/>
      </c>
      <c r="F50" s="7" t="str">
        <f>IF($A50="","",Planif_Grupasa!G50)</f>
        <v/>
      </c>
      <c r="G50" s="7" t="str">
        <f>IF($A50="","",Planif_Grupasa!I50)</f>
        <v/>
      </c>
      <c r="H50" s="7" t="str">
        <f>IF($A50="","",Planif_Galagans!I50)</f>
        <v/>
      </c>
      <c r="I50" s="7" t="str">
        <f>IF($A50="","",Registro_Contenedores!K50)</f>
        <v/>
      </c>
      <c r="J50" s="5"/>
      <c r="K50" s="5"/>
      <c r="L50" s="5"/>
      <c r="M50" s="5"/>
      <c r="N50" s="1"/>
      <c r="O50" s="1"/>
      <c r="P50" s="1"/>
      <c r="Q50" s="1"/>
    </row>
    <row r="51" spans="1:17" x14ac:dyDescent="0.35">
      <c r="A51" s="7" t="str">
        <f>IF(Registro_Contenedores!A51="","",Registro_Contenedores!A51)</f>
        <v/>
      </c>
      <c r="B51" s="7" t="str">
        <f>IF($A51="","",Registro_Contenedores!B51)</f>
        <v/>
      </c>
      <c r="C51" s="7" t="str">
        <f>IF($A51="","",Registro_Contenedores!E51)</f>
        <v/>
      </c>
      <c r="D51" s="7" t="str">
        <f>IF($A51="","",Registro_Contenedores!H51)</f>
        <v/>
      </c>
      <c r="E51" s="7" t="str">
        <f>IF($A51="","",Registro_Contenedores!J51)</f>
        <v/>
      </c>
      <c r="F51" s="7" t="str">
        <f>IF($A51="","",Planif_Grupasa!G51)</f>
        <v/>
      </c>
      <c r="G51" s="7" t="str">
        <f>IF($A51="","",Planif_Grupasa!I51)</f>
        <v/>
      </c>
      <c r="H51" s="7" t="str">
        <f>IF($A51="","",Planif_Galagans!I51)</f>
        <v/>
      </c>
      <c r="I51" s="7" t="str">
        <f>IF($A51="","",Registro_Contenedores!K51)</f>
        <v/>
      </c>
      <c r="J51" s="5"/>
      <c r="K51" s="5"/>
      <c r="L51" s="5"/>
      <c r="M51" s="5"/>
      <c r="N51" s="1"/>
      <c r="O51" s="1"/>
      <c r="P51" s="1"/>
      <c r="Q51" s="1"/>
    </row>
    <row r="52" spans="1:17" x14ac:dyDescent="0.35">
      <c r="A52" s="7" t="str">
        <f>IF(Registro_Contenedores!A52="","",Registro_Contenedores!A52)</f>
        <v/>
      </c>
      <c r="B52" s="7" t="str">
        <f>IF($A52="","",Registro_Contenedores!B52)</f>
        <v/>
      </c>
      <c r="C52" s="7" t="str">
        <f>IF($A52="","",Registro_Contenedores!E52)</f>
        <v/>
      </c>
      <c r="D52" s="7" t="str">
        <f>IF($A52="","",Registro_Contenedores!H52)</f>
        <v/>
      </c>
      <c r="E52" s="7" t="str">
        <f>IF($A52="","",Registro_Contenedores!J52)</f>
        <v/>
      </c>
      <c r="F52" s="7" t="str">
        <f>IF($A52="","",Planif_Grupasa!G52)</f>
        <v/>
      </c>
      <c r="G52" s="7" t="str">
        <f>IF($A52="","",Planif_Grupasa!I52)</f>
        <v/>
      </c>
      <c r="H52" s="7" t="str">
        <f>IF($A52="","",Planif_Galagans!I52)</f>
        <v/>
      </c>
      <c r="I52" s="7" t="str">
        <f>IF($A52="","",Registro_Contenedores!K52)</f>
        <v/>
      </c>
      <c r="J52" s="5"/>
      <c r="K52" s="5"/>
      <c r="L52" s="5"/>
      <c r="M52" s="5"/>
      <c r="N52" s="1"/>
      <c r="O52" s="1"/>
      <c r="P52" s="1"/>
      <c r="Q52" s="1"/>
    </row>
    <row r="53" spans="1:17" x14ac:dyDescent="0.35">
      <c r="A53" s="7" t="str">
        <f>IF(Registro_Contenedores!A53="","",Registro_Contenedores!A53)</f>
        <v/>
      </c>
      <c r="B53" s="7" t="str">
        <f>IF($A53="","",Registro_Contenedores!B53)</f>
        <v/>
      </c>
      <c r="C53" s="7" t="str">
        <f>IF($A53="","",Registro_Contenedores!E53)</f>
        <v/>
      </c>
      <c r="D53" s="7" t="str">
        <f>IF($A53="","",Registro_Contenedores!H53)</f>
        <v/>
      </c>
      <c r="E53" s="7" t="str">
        <f>IF($A53="","",Registro_Contenedores!J53)</f>
        <v/>
      </c>
      <c r="F53" s="7" t="str">
        <f>IF($A53="","",Planif_Grupasa!G53)</f>
        <v/>
      </c>
      <c r="G53" s="7" t="str">
        <f>IF($A53="","",Planif_Grupasa!I53)</f>
        <v/>
      </c>
      <c r="H53" s="7" t="str">
        <f>IF($A53="","",Planif_Galagans!I53)</f>
        <v/>
      </c>
      <c r="I53" s="7" t="str">
        <f>IF($A53="","",Registro_Contenedores!K53)</f>
        <v/>
      </c>
      <c r="J53" s="5"/>
      <c r="K53" s="5"/>
      <c r="L53" s="5"/>
      <c r="M53" s="5"/>
      <c r="N53" s="1"/>
      <c r="O53" s="1"/>
      <c r="P53" s="1"/>
      <c r="Q53" s="1"/>
    </row>
    <row r="54" spans="1:17" x14ac:dyDescent="0.35">
      <c r="A54" s="7" t="str">
        <f>IF(Registro_Contenedores!A54="","",Registro_Contenedores!A54)</f>
        <v/>
      </c>
      <c r="B54" s="7" t="str">
        <f>IF($A54="","",Registro_Contenedores!B54)</f>
        <v/>
      </c>
      <c r="C54" s="7" t="str">
        <f>IF($A54="","",Registro_Contenedores!E54)</f>
        <v/>
      </c>
      <c r="D54" s="7" t="str">
        <f>IF($A54="","",Registro_Contenedores!H54)</f>
        <v/>
      </c>
      <c r="E54" s="7" t="str">
        <f>IF($A54="","",Registro_Contenedores!J54)</f>
        <v/>
      </c>
      <c r="F54" s="7" t="str">
        <f>IF($A54="","",Planif_Grupasa!G54)</f>
        <v/>
      </c>
      <c r="G54" s="7" t="str">
        <f>IF($A54="","",Planif_Grupasa!I54)</f>
        <v/>
      </c>
      <c r="H54" s="7" t="str">
        <f>IF($A54="","",Planif_Galagans!I54)</f>
        <v/>
      </c>
      <c r="I54" s="7" t="str">
        <f>IF($A54="","",Registro_Contenedores!K54)</f>
        <v/>
      </c>
      <c r="J54" s="5"/>
      <c r="K54" s="5"/>
      <c r="L54" s="5"/>
      <c r="M54" s="5"/>
      <c r="N54" s="1"/>
      <c r="O54" s="1"/>
      <c r="P54" s="1"/>
      <c r="Q54" s="1"/>
    </row>
    <row r="55" spans="1:17" x14ac:dyDescent="0.35">
      <c r="A55" s="7" t="str">
        <f>IF(Registro_Contenedores!A55="","",Registro_Contenedores!A55)</f>
        <v/>
      </c>
      <c r="B55" s="7" t="str">
        <f>IF($A55="","",Registro_Contenedores!B55)</f>
        <v/>
      </c>
      <c r="C55" s="7" t="str">
        <f>IF($A55="","",Registro_Contenedores!E55)</f>
        <v/>
      </c>
      <c r="D55" s="7" t="str">
        <f>IF($A55="","",Registro_Contenedores!H55)</f>
        <v/>
      </c>
      <c r="E55" s="7" t="str">
        <f>IF($A55="","",Registro_Contenedores!J55)</f>
        <v/>
      </c>
      <c r="F55" s="7" t="str">
        <f>IF($A55="","",Planif_Grupasa!G55)</f>
        <v/>
      </c>
      <c r="G55" s="7" t="str">
        <f>IF($A55="","",Planif_Grupasa!I55)</f>
        <v/>
      </c>
      <c r="H55" s="7" t="str">
        <f>IF($A55="","",Planif_Galagans!I55)</f>
        <v/>
      </c>
      <c r="I55" s="7" t="str">
        <f>IF($A55="","",Registro_Contenedores!K55)</f>
        <v/>
      </c>
      <c r="J55" s="5"/>
      <c r="K55" s="5"/>
      <c r="L55" s="5"/>
      <c r="M55" s="5"/>
      <c r="N55" s="1"/>
      <c r="O55" s="1"/>
      <c r="P55" s="1"/>
      <c r="Q55" s="1"/>
    </row>
    <row r="56" spans="1:17" x14ac:dyDescent="0.35">
      <c r="A56" s="7" t="str">
        <f>IF(Registro_Contenedores!A56="","",Registro_Contenedores!A56)</f>
        <v/>
      </c>
      <c r="B56" s="7" t="str">
        <f>IF($A56="","",Registro_Contenedores!B56)</f>
        <v/>
      </c>
      <c r="C56" s="7" t="str">
        <f>IF($A56="","",Registro_Contenedores!E56)</f>
        <v/>
      </c>
      <c r="D56" s="7" t="str">
        <f>IF($A56="","",Registro_Contenedores!H56)</f>
        <v/>
      </c>
      <c r="E56" s="7" t="str">
        <f>IF($A56="","",Registro_Contenedores!J56)</f>
        <v/>
      </c>
      <c r="F56" s="7" t="str">
        <f>IF($A56="","",Planif_Grupasa!G56)</f>
        <v/>
      </c>
      <c r="G56" s="7" t="str">
        <f>IF($A56="","",Planif_Grupasa!I56)</f>
        <v/>
      </c>
      <c r="H56" s="7" t="str">
        <f>IF($A56="","",Planif_Galagans!I56)</f>
        <v/>
      </c>
      <c r="I56" s="7" t="str">
        <f>IF($A56="","",Registro_Contenedores!K56)</f>
        <v/>
      </c>
      <c r="J56" s="5"/>
      <c r="K56" s="5"/>
      <c r="L56" s="5"/>
      <c r="M56" s="5"/>
      <c r="N56" s="1"/>
      <c r="O56" s="1"/>
      <c r="P56" s="1"/>
      <c r="Q56" s="1"/>
    </row>
    <row r="57" spans="1:17" x14ac:dyDescent="0.35">
      <c r="A57" s="7" t="str">
        <f>IF(Registro_Contenedores!A57="","",Registro_Contenedores!A57)</f>
        <v/>
      </c>
      <c r="B57" s="7" t="str">
        <f>IF($A57="","",Registro_Contenedores!B57)</f>
        <v/>
      </c>
      <c r="C57" s="7" t="str">
        <f>IF($A57="","",Registro_Contenedores!E57)</f>
        <v/>
      </c>
      <c r="D57" s="7" t="str">
        <f>IF($A57="","",Registro_Contenedores!H57)</f>
        <v/>
      </c>
      <c r="E57" s="7" t="str">
        <f>IF($A57="","",Registro_Contenedores!J57)</f>
        <v/>
      </c>
      <c r="F57" s="7" t="str">
        <f>IF($A57="","",Planif_Grupasa!G57)</f>
        <v/>
      </c>
      <c r="G57" s="7" t="str">
        <f>IF($A57="","",Planif_Grupasa!I57)</f>
        <v/>
      </c>
      <c r="H57" s="7" t="str">
        <f>IF($A57="","",Planif_Galagans!I57)</f>
        <v/>
      </c>
      <c r="I57" s="7" t="str">
        <f>IF($A57="","",Registro_Contenedores!K57)</f>
        <v/>
      </c>
      <c r="J57" s="5"/>
      <c r="K57" s="5"/>
      <c r="L57" s="5"/>
      <c r="M57" s="5"/>
      <c r="N57" s="1"/>
      <c r="O57" s="1"/>
      <c r="P57" s="1"/>
      <c r="Q57" s="1"/>
    </row>
    <row r="58" spans="1:17" x14ac:dyDescent="0.35">
      <c r="A58" s="7" t="str">
        <f>IF(Registro_Contenedores!A58="","",Registro_Contenedores!A58)</f>
        <v/>
      </c>
      <c r="B58" s="7" t="str">
        <f>IF($A58="","",Registro_Contenedores!B58)</f>
        <v/>
      </c>
      <c r="C58" s="7" t="str">
        <f>IF($A58="","",Registro_Contenedores!E58)</f>
        <v/>
      </c>
      <c r="D58" s="7" t="str">
        <f>IF($A58="","",Registro_Contenedores!H58)</f>
        <v/>
      </c>
      <c r="E58" s="7" t="str">
        <f>IF($A58="","",Registro_Contenedores!J58)</f>
        <v/>
      </c>
      <c r="F58" s="7" t="str">
        <f>IF($A58="","",Planif_Grupasa!G58)</f>
        <v/>
      </c>
      <c r="G58" s="7" t="str">
        <f>IF($A58="","",Planif_Grupasa!I58)</f>
        <v/>
      </c>
      <c r="H58" s="7" t="str">
        <f>IF($A58="","",Planif_Galagans!I58)</f>
        <v/>
      </c>
      <c r="I58" s="7" t="str">
        <f>IF($A58="","",Registro_Contenedores!K58)</f>
        <v/>
      </c>
      <c r="J58" s="5"/>
      <c r="K58" s="5"/>
      <c r="L58" s="5"/>
      <c r="M58" s="5"/>
      <c r="N58" s="1"/>
      <c r="O58" s="1"/>
      <c r="P58" s="1"/>
      <c r="Q58" s="1"/>
    </row>
    <row r="59" spans="1:17" x14ac:dyDescent="0.35">
      <c r="A59" s="7" t="str">
        <f>IF(Registro_Contenedores!A59="","",Registro_Contenedores!A59)</f>
        <v/>
      </c>
      <c r="B59" s="7" t="str">
        <f>IF($A59="","",Registro_Contenedores!B59)</f>
        <v/>
      </c>
      <c r="C59" s="7" t="str">
        <f>IF($A59="","",Registro_Contenedores!E59)</f>
        <v/>
      </c>
      <c r="D59" s="7" t="str">
        <f>IF($A59="","",Registro_Contenedores!H59)</f>
        <v/>
      </c>
      <c r="E59" s="7" t="str">
        <f>IF($A59="","",Registro_Contenedores!J59)</f>
        <v/>
      </c>
      <c r="F59" s="7" t="str">
        <f>IF($A59="","",Planif_Grupasa!G59)</f>
        <v/>
      </c>
      <c r="G59" s="7" t="str">
        <f>IF($A59="","",Planif_Grupasa!I59)</f>
        <v/>
      </c>
      <c r="H59" s="7" t="str">
        <f>IF($A59="","",Planif_Galagans!I59)</f>
        <v/>
      </c>
      <c r="I59" s="7" t="str">
        <f>IF($A59="","",Registro_Contenedores!K59)</f>
        <v/>
      </c>
      <c r="J59" s="5"/>
      <c r="K59" s="5"/>
      <c r="L59" s="5"/>
      <c r="M59" s="5"/>
      <c r="N59" s="1"/>
      <c r="O59" s="1"/>
      <c r="P59" s="1"/>
      <c r="Q59" s="1"/>
    </row>
    <row r="60" spans="1:17" x14ac:dyDescent="0.35">
      <c r="A60" s="7" t="str">
        <f>IF(Registro_Contenedores!A60="","",Registro_Contenedores!A60)</f>
        <v/>
      </c>
      <c r="B60" s="7" t="str">
        <f>IF($A60="","",Registro_Contenedores!B60)</f>
        <v/>
      </c>
      <c r="C60" s="7" t="str">
        <f>IF($A60="","",Registro_Contenedores!E60)</f>
        <v/>
      </c>
      <c r="D60" s="7" t="str">
        <f>IF($A60="","",Registro_Contenedores!H60)</f>
        <v/>
      </c>
      <c r="E60" s="7" t="str">
        <f>IF($A60="","",Registro_Contenedores!J60)</f>
        <v/>
      </c>
      <c r="F60" s="7" t="str">
        <f>IF($A60="","",Planif_Grupasa!G60)</f>
        <v/>
      </c>
      <c r="G60" s="7" t="str">
        <f>IF($A60="","",Planif_Grupasa!I60)</f>
        <v/>
      </c>
      <c r="H60" s="7" t="str">
        <f>IF($A60="","",Planif_Galagans!I60)</f>
        <v/>
      </c>
      <c r="I60" s="7" t="str">
        <f>IF($A60="","",Registro_Contenedores!K60)</f>
        <v/>
      </c>
      <c r="J60" s="5"/>
      <c r="K60" s="5"/>
      <c r="L60" s="5"/>
      <c r="M60" s="5"/>
      <c r="N60" s="1"/>
      <c r="O60" s="1"/>
      <c r="P60" s="1"/>
      <c r="Q60" s="1"/>
    </row>
    <row r="61" spans="1:17" x14ac:dyDescent="0.35">
      <c r="A61" s="7" t="str">
        <f>IF(Registro_Contenedores!A61="","",Registro_Contenedores!A61)</f>
        <v/>
      </c>
      <c r="B61" s="7" t="str">
        <f>IF($A61="","",Registro_Contenedores!B61)</f>
        <v/>
      </c>
      <c r="C61" s="7" t="str">
        <f>IF($A61="","",Registro_Contenedores!E61)</f>
        <v/>
      </c>
      <c r="D61" s="7" t="str">
        <f>IF($A61="","",Registro_Contenedores!H61)</f>
        <v/>
      </c>
      <c r="E61" s="7" t="str">
        <f>IF($A61="","",Registro_Contenedores!J61)</f>
        <v/>
      </c>
      <c r="F61" s="7" t="str">
        <f>IF($A61="","",Planif_Grupasa!G61)</f>
        <v/>
      </c>
      <c r="G61" s="7" t="str">
        <f>IF($A61="","",Planif_Grupasa!I61)</f>
        <v/>
      </c>
      <c r="H61" s="7" t="str">
        <f>IF($A61="","",Planif_Galagans!I61)</f>
        <v/>
      </c>
      <c r="I61" s="7" t="str">
        <f>IF($A61="","",Registro_Contenedores!K61)</f>
        <v/>
      </c>
      <c r="J61" s="5"/>
      <c r="K61" s="5"/>
      <c r="L61" s="5"/>
      <c r="M61" s="5"/>
      <c r="N61" s="1"/>
      <c r="O61" s="1"/>
      <c r="P61" s="1"/>
      <c r="Q61" s="1"/>
    </row>
    <row r="62" spans="1:17" x14ac:dyDescent="0.35">
      <c r="A62" s="7" t="str">
        <f>IF(Registro_Contenedores!A62="","",Registro_Contenedores!A62)</f>
        <v/>
      </c>
      <c r="B62" s="7" t="str">
        <f>IF($A62="","",Registro_Contenedores!B62)</f>
        <v/>
      </c>
      <c r="C62" s="7" t="str">
        <f>IF($A62="","",Registro_Contenedores!E62)</f>
        <v/>
      </c>
      <c r="D62" s="7" t="str">
        <f>IF($A62="","",Registro_Contenedores!H62)</f>
        <v/>
      </c>
      <c r="E62" s="7" t="str">
        <f>IF($A62="","",Registro_Contenedores!J62)</f>
        <v/>
      </c>
      <c r="F62" s="7" t="str">
        <f>IF($A62="","",Planif_Grupasa!G62)</f>
        <v/>
      </c>
      <c r="G62" s="7" t="str">
        <f>IF($A62="","",Planif_Grupasa!I62)</f>
        <v/>
      </c>
      <c r="H62" s="7" t="str">
        <f>IF($A62="","",Planif_Galagans!I62)</f>
        <v/>
      </c>
      <c r="I62" s="7" t="str">
        <f>IF($A62="","",Registro_Contenedores!K62)</f>
        <v/>
      </c>
      <c r="J62" s="5"/>
      <c r="K62" s="5"/>
      <c r="L62" s="5"/>
      <c r="M62" s="5"/>
      <c r="N62" s="1"/>
      <c r="O62" s="1"/>
      <c r="P62" s="1"/>
      <c r="Q62" s="1"/>
    </row>
    <row r="63" spans="1:17" x14ac:dyDescent="0.35">
      <c r="A63" s="7" t="str">
        <f>IF(Registro_Contenedores!A63="","",Registro_Contenedores!A63)</f>
        <v/>
      </c>
      <c r="B63" s="7" t="str">
        <f>IF($A63="","",Registro_Contenedores!B63)</f>
        <v/>
      </c>
      <c r="C63" s="7" t="str">
        <f>IF($A63="","",Registro_Contenedores!E63)</f>
        <v/>
      </c>
      <c r="D63" s="7" t="str">
        <f>IF($A63="","",Registro_Contenedores!H63)</f>
        <v/>
      </c>
      <c r="E63" s="7" t="str">
        <f>IF($A63="","",Registro_Contenedores!J63)</f>
        <v/>
      </c>
      <c r="F63" s="7" t="str">
        <f>IF($A63="","",Planif_Grupasa!G63)</f>
        <v/>
      </c>
      <c r="G63" s="7" t="str">
        <f>IF($A63="","",Planif_Grupasa!I63)</f>
        <v/>
      </c>
      <c r="H63" s="7" t="str">
        <f>IF($A63="","",Planif_Galagans!I63)</f>
        <v/>
      </c>
      <c r="I63" s="7" t="str">
        <f>IF($A63="","",Registro_Contenedores!K63)</f>
        <v/>
      </c>
      <c r="J63" s="5"/>
      <c r="K63" s="5"/>
      <c r="L63" s="5"/>
      <c r="M63" s="5"/>
      <c r="N63" s="1"/>
      <c r="O63" s="1"/>
      <c r="P63" s="1"/>
      <c r="Q63" s="1"/>
    </row>
    <row r="64" spans="1:17" x14ac:dyDescent="0.35">
      <c r="A64" s="7" t="str">
        <f>IF(Registro_Contenedores!A64="","",Registro_Contenedores!A64)</f>
        <v/>
      </c>
      <c r="B64" s="7" t="str">
        <f>IF($A64="","",Registro_Contenedores!B64)</f>
        <v/>
      </c>
      <c r="C64" s="7" t="str">
        <f>IF($A64="","",Registro_Contenedores!E64)</f>
        <v/>
      </c>
      <c r="D64" s="7" t="str">
        <f>IF($A64="","",Registro_Contenedores!H64)</f>
        <v/>
      </c>
      <c r="E64" s="7" t="str">
        <f>IF($A64="","",Registro_Contenedores!J64)</f>
        <v/>
      </c>
      <c r="F64" s="7" t="str">
        <f>IF($A64="","",Planif_Grupasa!G64)</f>
        <v/>
      </c>
      <c r="G64" s="7" t="str">
        <f>IF($A64="","",Planif_Grupasa!I64)</f>
        <v/>
      </c>
      <c r="H64" s="7" t="str">
        <f>IF($A64="","",Planif_Galagans!I64)</f>
        <v/>
      </c>
      <c r="I64" s="7" t="str">
        <f>IF($A64="","",Registro_Contenedores!K64)</f>
        <v/>
      </c>
      <c r="J64" s="5"/>
      <c r="K64" s="5"/>
      <c r="L64" s="5"/>
      <c r="M64" s="5"/>
      <c r="N64" s="1"/>
      <c r="O64" s="1"/>
      <c r="P64" s="1"/>
      <c r="Q64" s="1"/>
    </row>
    <row r="65" spans="1:17" x14ac:dyDescent="0.35">
      <c r="A65" s="7" t="str">
        <f>IF(Registro_Contenedores!A65="","",Registro_Contenedores!A65)</f>
        <v/>
      </c>
      <c r="B65" s="7" t="str">
        <f>IF($A65="","",Registro_Contenedores!B65)</f>
        <v/>
      </c>
      <c r="C65" s="7" t="str">
        <f>IF($A65="","",Registro_Contenedores!E65)</f>
        <v/>
      </c>
      <c r="D65" s="7" t="str">
        <f>IF($A65="","",Registro_Contenedores!H65)</f>
        <v/>
      </c>
      <c r="E65" s="7" t="str">
        <f>IF($A65="","",Registro_Contenedores!J65)</f>
        <v/>
      </c>
      <c r="F65" s="7" t="str">
        <f>IF($A65="","",Planif_Grupasa!G65)</f>
        <v/>
      </c>
      <c r="G65" s="7" t="str">
        <f>IF($A65="","",Planif_Grupasa!I65)</f>
        <v/>
      </c>
      <c r="H65" s="7" t="str">
        <f>IF($A65="","",Planif_Galagans!I65)</f>
        <v/>
      </c>
      <c r="I65" s="7" t="str">
        <f>IF($A65="","",Registro_Contenedores!K65)</f>
        <v/>
      </c>
      <c r="J65" s="5"/>
      <c r="K65" s="5"/>
      <c r="L65" s="5"/>
      <c r="M65" s="5"/>
      <c r="N65" s="1"/>
      <c r="O65" s="1"/>
      <c r="P65" s="1"/>
      <c r="Q65" s="1"/>
    </row>
    <row r="66" spans="1:17" x14ac:dyDescent="0.35">
      <c r="A66" s="7" t="str">
        <f>IF(Registro_Contenedores!A66="","",Registro_Contenedores!A66)</f>
        <v/>
      </c>
      <c r="B66" s="7" t="str">
        <f>IF($A66="","",Registro_Contenedores!B66)</f>
        <v/>
      </c>
      <c r="C66" s="7" t="str">
        <f>IF($A66="","",Registro_Contenedores!E66)</f>
        <v/>
      </c>
      <c r="D66" s="7" t="str">
        <f>IF($A66="","",Registro_Contenedores!H66)</f>
        <v/>
      </c>
      <c r="E66" s="7" t="str">
        <f>IF($A66="","",Registro_Contenedores!J66)</f>
        <v/>
      </c>
      <c r="F66" s="7" t="str">
        <f>IF($A66="","",Planif_Grupasa!G66)</f>
        <v/>
      </c>
      <c r="G66" s="7" t="str">
        <f>IF($A66="","",Planif_Grupasa!I66)</f>
        <v/>
      </c>
      <c r="H66" s="7" t="str">
        <f>IF($A66="","",Planif_Galagans!I66)</f>
        <v/>
      </c>
      <c r="I66" s="7" t="str">
        <f>IF($A66="","",Registro_Contenedores!K66)</f>
        <v/>
      </c>
      <c r="J66" s="5"/>
      <c r="K66" s="5"/>
      <c r="L66" s="5"/>
      <c r="M66" s="5"/>
      <c r="N66" s="1"/>
      <c r="O66" s="1"/>
      <c r="P66" s="1"/>
      <c r="Q66" s="1"/>
    </row>
    <row r="67" spans="1:17" x14ac:dyDescent="0.35">
      <c r="A67" s="7" t="str">
        <f>IF(Registro_Contenedores!A67="","",Registro_Contenedores!A67)</f>
        <v/>
      </c>
      <c r="B67" s="7" t="str">
        <f>IF($A67="","",Registro_Contenedores!B67)</f>
        <v/>
      </c>
      <c r="C67" s="7" t="str">
        <f>IF($A67="","",Registro_Contenedores!E67)</f>
        <v/>
      </c>
      <c r="D67" s="7" t="str">
        <f>IF($A67="","",Registro_Contenedores!H67)</f>
        <v/>
      </c>
      <c r="E67" s="7" t="str">
        <f>IF($A67="","",Registro_Contenedores!J67)</f>
        <v/>
      </c>
      <c r="F67" s="7" t="str">
        <f>IF($A67="","",Planif_Grupasa!G67)</f>
        <v/>
      </c>
      <c r="G67" s="7" t="str">
        <f>IF($A67="","",Planif_Grupasa!I67)</f>
        <v/>
      </c>
      <c r="H67" s="7" t="str">
        <f>IF($A67="","",Planif_Galagans!I67)</f>
        <v/>
      </c>
      <c r="I67" s="7" t="str">
        <f>IF($A67="","",Registro_Contenedores!K67)</f>
        <v/>
      </c>
      <c r="J67" s="5"/>
      <c r="K67" s="5"/>
      <c r="L67" s="5"/>
      <c r="M67" s="5"/>
      <c r="N67" s="1"/>
      <c r="O67" s="1"/>
      <c r="P67" s="1"/>
      <c r="Q67" s="1"/>
    </row>
    <row r="68" spans="1:17" x14ac:dyDescent="0.35">
      <c r="A68" s="7" t="str">
        <f>IF(Registro_Contenedores!A68="","",Registro_Contenedores!A68)</f>
        <v/>
      </c>
      <c r="B68" s="7" t="str">
        <f>IF($A68="","",Registro_Contenedores!B68)</f>
        <v/>
      </c>
      <c r="C68" s="7" t="str">
        <f>IF($A68="","",Registro_Contenedores!E68)</f>
        <v/>
      </c>
      <c r="D68" s="7" t="str">
        <f>IF($A68="","",Registro_Contenedores!H68)</f>
        <v/>
      </c>
      <c r="E68" s="7" t="str">
        <f>IF($A68="","",Registro_Contenedores!J68)</f>
        <v/>
      </c>
      <c r="F68" s="7" t="str">
        <f>IF($A68="","",Planif_Grupasa!G68)</f>
        <v/>
      </c>
      <c r="G68" s="7" t="str">
        <f>IF($A68="","",Planif_Grupasa!I68)</f>
        <v/>
      </c>
      <c r="H68" s="7" t="str">
        <f>IF($A68="","",Planif_Galagans!I68)</f>
        <v/>
      </c>
      <c r="I68" s="7" t="str">
        <f>IF($A68="","",Registro_Contenedores!K68)</f>
        <v/>
      </c>
      <c r="J68" s="5"/>
      <c r="K68" s="5"/>
      <c r="L68" s="5"/>
      <c r="M68" s="5"/>
      <c r="N68" s="1"/>
      <c r="O68" s="1"/>
      <c r="P68" s="1"/>
      <c r="Q68" s="1"/>
    </row>
    <row r="69" spans="1:17" x14ac:dyDescent="0.35">
      <c r="A69" s="7" t="str">
        <f>IF(Registro_Contenedores!A69="","",Registro_Contenedores!A69)</f>
        <v/>
      </c>
      <c r="B69" s="7" t="str">
        <f>IF($A69="","",Registro_Contenedores!B69)</f>
        <v/>
      </c>
      <c r="C69" s="7" t="str">
        <f>IF($A69="","",Registro_Contenedores!E69)</f>
        <v/>
      </c>
      <c r="D69" s="7" t="str">
        <f>IF($A69="","",Registro_Contenedores!H69)</f>
        <v/>
      </c>
      <c r="E69" s="7" t="str">
        <f>IF($A69="","",Registro_Contenedores!J69)</f>
        <v/>
      </c>
      <c r="F69" s="7" t="str">
        <f>IF($A69="","",Planif_Grupasa!G69)</f>
        <v/>
      </c>
      <c r="G69" s="7" t="str">
        <f>IF($A69="","",Planif_Grupasa!I69)</f>
        <v/>
      </c>
      <c r="H69" s="7" t="str">
        <f>IF($A69="","",Planif_Galagans!I69)</f>
        <v/>
      </c>
      <c r="I69" s="7" t="str">
        <f>IF($A69="","",Registro_Contenedores!K69)</f>
        <v/>
      </c>
      <c r="J69" s="5"/>
      <c r="K69" s="5"/>
      <c r="L69" s="5"/>
      <c r="M69" s="5"/>
      <c r="N69" s="1"/>
      <c r="O69" s="1"/>
      <c r="P69" s="1"/>
      <c r="Q69" s="1"/>
    </row>
    <row r="70" spans="1:17" x14ac:dyDescent="0.35">
      <c r="A70" s="7" t="str">
        <f>IF(Registro_Contenedores!A70="","",Registro_Contenedores!A70)</f>
        <v/>
      </c>
      <c r="B70" s="7" t="str">
        <f>IF($A70="","",Registro_Contenedores!B70)</f>
        <v/>
      </c>
      <c r="C70" s="7" t="str">
        <f>IF($A70="","",Registro_Contenedores!E70)</f>
        <v/>
      </c>
      <c r="D70" s="7" t="str">
        <f>IF($A70="","",Registro_Contenedores!H70)</f>
        <v/>
      </c>
      <c r="E70" s="7" t="str">
        <f>IF($A70="","",Registro_Contenedores!J70)</f>
        <v/>
      </c>
      <c r="F70" s="7" t="str">
        <f>IF($A70="","",Planif_Grupasa!G70)</f>
        <v/>
      </c>
      <c r="G70" s="7" t="str">
        <f>IF($A70="","",Planif_Grupasa!I70)</f>
        <v/>
      </c>
      <c r="H70" s="7" t="str">
        <f>IF($A70="","",Planif_Galagans!I70)</f>
        <v/>
      </c>
      <c r="I70" s="7" t="str">
        <f>IF($A70="","",Registro_Contenedores!K70)</f>
        <v/>
      </c>
      <c r="J70" s="5"/>
      <c r="K70" s="5"/>
      <c r="L70" s="5"/>
      <c r="M70" s="5"/>
      <c r="N70" s="1"/>
      <c r="O70" s="1"/>
      <c r="P70" s="1"/>
      <c r="Q70" s="1"/>
    </row>
    <row r="71" spans="1:17" x14ac:dyDescent="0.35">
      <c r="A71" s="7" t="str">
        <f>IF(Registro_Contenedores!A71="","",Registro_Contenedores!A71)</f>
        <v/>
      </c>
      <c r="B71" s="7" t="str">
        <f>IF($A71="","",Registro_Contenedores!B71)</f>
        <v/>
      </c>
      <c r="C71" s="7" t="str">
        <f>IF($A71="","",Registro_Contenedores!E71)</f>
        <v/>
      </c>
      <c r="D71" s="7" t="str">
        <f>IF($A71="","",Registro_Contenedores!H71)</f>
        <v/>
      </c>
      <c r="E71" s="7" t="str">
        <f>IF($A71="","",Registro_Contenedores!J71)</f>
        <v/>
      </c>
      <c r="F71" s="7" t="str">
        <f>IF($A71="","",Planif_Grupasa!G71)</f>
        <v/>
      </c>
      <c r="G71" s="7" t="str">
        <f>IF($A71="","",Planif_Grupasa!I71)</f>
        <v/>
      </c>
      <c r="H71" s="7" t="str">
        <f>IF($A71="","",Planif_Galagans!I71)</f>
        <v/>
      </c>
      <c r="I71" s="7" t="str">
        <f>IF($A71="","",Registro_Contenedores!K71)</f>
        <v/>
      </c>
      <c r="J71" s="5"/>
      <c r="K71" s="5"/>
      <c r="L71" s="5"/>
      <c r="M71" s="5"/>
      <c r="N71" s="1"/>
      <c r="O71" s="1"/>
      <c r="P71" s="1"/>
      <c r="Q71" s="1"/>
    </row>
    <row r="72" spans="1:17" x14ac:dyDescent="0.35">
      <c r="A72" s="7" t="str">
        <f>IF(Registro_Contenedores!A72="","",Registro_Contenedores!A72)</f>
        <v/>
      </c>
      <c r="B72" s="7" t="str">
        <f>IF($A72="","",Registro_Contenedores!B72)</f>
        <v/>
      </c>
      <c r="C72" s="7" t="str">
        <f>IF($A72="","",Registro_Contenedores!E72)</f>
        <v/>
      </c>
      <c r="D72" s="7" t="str">
        <f>IF($A72="","",Registro_Contenedores!H72)</f>
        <v/>
      </c>
      <c r="E72" s="7" t="str">
        <f>IF($A72="","",Registro_Contenedores!J72)</f>
        <v/>
      </c>
      <c r="F72" s="7" t="str">
        <f>IF($A72="","",Planif_Grupasa!G72)</f>
        <v/>
      </c>
      <c r="G72" s="7" t="str">
        <f>IF($A72="","",Planif_Grupasa!I72)</f>
        <v/>
      </c>
      <c r="H72" s="7" t="str">
        <f>IF($A72="","",Planif_Galagans!I72)</f>
        <v/>
      </c>
      <c r="I72" s="7" t="str">
        <f>IF($A72="","",Registro_Contenedores!K72)</f>
        <v/>
      </c>
      <c r="J72" s="5"/>
      <c r="K72" s="5"/>
      <c r="L72" s="5"/>
      <c r="M72" s="5"/>
      <c r="N72" s="1"/>
      <c r="O72" s="1"/>
      <c r="P72" s="1"/>
      <c r="Q72" s="1"/>
    </row>
    <row r="73" spans="1:17" x14ac:dyDescent="0.35">
      <c r="A73" s="7" t="str">
        <f>IF(Registro_Contenedores!A73="","",Registro_Contenedores!A73)</f>
        <v/>
      </c>
      <c r="B73" s="7" t="str">
        <f>IF($A73="","",Registro_Contenedores!B73)</f>
        <v/>
      </c>
      <c r="C73" s="7" t="str">
        <f>IF($A73="","",Registro_Contenedores!E73)</f>
        <v/>
      </c>
      <c r="D73" s="7" t="str">
        <f>IF($A73="","",Registro_Contenedores!H73)</f>
        <v/>
      </c>
      <c r="E73" s="7" t="str">
        <f>IF($A73="","",Registro_Contenedores!J73)</f>
        <v/>
      </c>
      <c r="F73" s="7" t="str">
        <f>IF($A73="","",Planif_Grupasa!G73)</f>
        <v/>
      </c>
      <c r="G73" s="7" t="str">
        <f>IF($A73="","",Planif_Grupasa!I73)</f>
        <v/>
      </c>
      <c r="H73" s="7" t="str">
        <f>IF($A73="","",Planif_Galagans!I73)</f>
        <v/>
      </c>
      <c r="I73" s="7" t="str">
        <f>IF($A73="","",Registro_Contenedores!K73)</f>
        <v/>
      </c>
      <c r="J73" s="5"/>
      <c r="K73" s="5"/>
      <c r="L73" s="5"/>
      <c r="M73" s="5"/>
      <c r="N73" s="1"/>
      <c r="O73" s="1"/>
      <c r="P73" s="1"/>
      <c r="Q73" s="1"/>
    </row>
    <row r="74" spans="1:17" x14ac:dyDescent="0.35">
      <c r="A74" s="7" t="str">
        <f>IF(Registro_Contenedores!A74="","",Registro_Contenedores!A74)</f>
        <v/>
      </c>
      <c r="B74" s="7" t="str">
        <f>IF($A74="","",Registro_Contenedores!B74)</f>
        <v/>
      </c>
      <c r="C74" s="7" t="str">
        <f>IF($A74="","",Registro_Contenedores!E74)</f>
        <v/>
      </c>
      <c r="D74" s="7" t="str">
        <f>IF($A74="","",Registro_Contenedores!H74)</f>
        <v/>
      </c>
      <c r="E74" s="7" t="str">
        <f>IF($A74="","",Registro_Contenedores!J74)</f>
        <v/>
      </c>
      <c r="F74" s="7" t="str">
        <f>IF($A74="","",Planif_Grupasa!G74)</f>
        <v/>
      </c>
      <c r="G74" s="7" t="str">
        <f>IF($A74="","",Planif_Grupasa!I74)</f>
        <v/>
      </c>
      <c r="H74" s="7" t="str">
        <f>IF($A74="","",Planif_Galagans!I74)</f>
        <v/>
      </c>
      <c r="I74" s="7" t="str">
        <f>IF($A74="","",Registro_Contenedores!K74)</f>
        <v/>
      </c>
      <c r="J74" s="5"/>
      <c r="K74" s="5"/>
      <c r="L74" s="5"/>
      <c r="M74" s="5"/>
      <c r="N74" s="1"/>
      <c r="O74" s="1"/>
      <c r="P74" s="1"/>
      <c r="Q74" s="1"/>
    </row>
    <row r="75" spans="1:17" x14ac:dyDescent="0.35">
      <c r="A75" s="7" t="str">
        <f>IF(Registro_Contenedores!A75="","",Registro_Contenedores!A75)</f>
        <v/>
      </c>
      <c r="B75" s="7" t="str">
        <f>IF($A75="","",Registro_Contenedores!B75)</f>
        <v/>
      </c>
      <c r="C75" s="7" t="str">
        <f>IF($A75="","",Registro_Contenedores!E75)</f>
        <v/>
      </c>
      <c r="D75" s="7" t="str">
        <f>IF($A75="","",Registro_Contenedores!H75)</f>
        <v/>
      </c>
      <c r="E75" s="7" t="str">
        <f>IF($A75="","",Registro_Contenedores!J75)</f>
        <v/>
      </c>
      <c r="F75" s="7" t="str">
        <f>IF($A75="","",Planif_Grupasa!G75)</f>
        <v/>
      </c>
      <c r="G75" s="7" t="str">
        <f>IF($A75="","",Planif_Grupasa!I75)</f>
        <v/>
      </c>
      <c r="H75" s="7" t="str">
        <f>IF($A75="","",Planif_Galagans!I75)</f>
        <v/>
      </c>
      <c r="I75" s="7" t="str">
        <f>IF($A75="","",Registro_Contenedores!K75)</f>
        <v/>
      </c>
      <c r="J75" s="5"/>
      <c r="K75" s="5"/>
      <c r="L75" s="5"/>
      <c r="M75" s="5"/>
      <c r="N75" s="1"/>
      <c r="O75" s="1"/>
      <c r="P75" s="1"/>
      <c r="Q75" s="1"/>
    </row>
    <row r="76" spans="1:17" x14ac:dyDescent="0.35">
      <c r="A76" s="7" t="str">
        <f>IF(Registro_Contenedores!A76="","",Registro_Contenedores!A76)</f>
        <v/>
      </c>
      <c r="B76" s="7" t="str">
        <f>IF($A76="","",Registro_Contenedores!B76)</f>
        <v/>
      </c>
      <c r="C76" s="7" t="str">
        <f>IF($A76="","",Registro_Contenedores!E76)</f>
        <v/>
      </c>
      <c r="D76" s="7" t="str">
        <f>IF($A76="","",Registro_Contenedores!H76)</f>
        <v/>
      </c>
      <c r="E76" s="7" t="str">
        <f>IF($A76="","",Registro_Contenedores!J76)</f>
        <v/>
      </c>
      <c r="F76" s="7" t="str">
        <f>IF($A76="","",Planif_Grupasa!G76)</f>
        <v/>
      </c>
      <c r="G76" s="7" t="str">
        <f>IF($A76="","",Planif_Grupasa!I76)</f>
        <v/>
      </c>
      <c r="H76" s="7" t="str">
        <f>IF($A76="","",Planif_Galagans!I76)</f>
        <v/>
      </c>
      <c r="I76" s="7" t="str">
        <f>IF($A76="","",Registro_Contenedores!K76)</f>
        <v/>
      </c>
      <c r="J76" s="5"/>
      <c r="K76" s="5"/>
      <c r="L76" s="5"/>
      <c r="M76" s="5"/>
      <c r="N76" s="1"/>
      <c r="O76" s="1"/>
      <c r="P76" s="1"/>
      <c r="Q76" s="1"/>
    </row>
    <row r="77" spans="1:17" x14ac:dyDescent="0.35">
      <c r="A77" s="7" t="str">
        <f>IF(Registro_Contenedores!A77="","",Registro_Contenedores!A77)</f>
        <v/>
      </c>
      <c r="B77" s="7" t="str">
        <f>IF($A77="","",Registro_Contenedores!B77)</f>
        <v/>
      </c>
      <c r="C77" s="7" t="str">
        <f>IF($A77="","",Registro_Contenedores!E77)</f>
        <v/>
      </c>
      <c r="D77" s="7" t="str">
        <f>IF($A77="","",Registro_Contenedores!H77)</f>
        <v/>
      </c>
      <c r="E77" s="7" t="str">
        <f>IF($A77="","",Registro_Contenedores!J77)</f>
        <v/>
      </c>
      <c r="F77" s="7" t="str">
        <f>IF($A77="","",Planif_Grupasa!G77)</f>
        <v/>
      </c>
      <c r="G77" s="7" t="str">
        <f>IF($A77="","",Planif_Grupasa!I77)</f>
        <v/>
      </c>
      <c r="H77" s="7" t="str">
        <f>IF($A77="","",Planif_Galagans!I77)</f>
        <v/>
      </c>
      <c r="I77" s="7" t="str">
        <f>IF($A77="","",Registro_Contenedores!K77)</f>
        <v/>
      </c>
      <c r="J77" s="5"/>
      <c r="K77" s="5"/>
      <c r="L77" s="5"/>
      <c r="M77" s="5"/>
      <c r="N77" s="1"/>
      <c r="O77" s="1"/>
      <c r="P77" s="1"/>
      <c r="Q77" s="1"/>
    </row>
    <row r="78" spans="1:17" x14ac:dyDescent="0.35">
      <c r="A78" s="7" t="str">
        <f>IF(Registro_Contenedores!A78="","",Registro_Contenedores!A78)</f>
        <v/>
      </c>
      <c r="B78" s="7" t="str">
        <f>IF($A78="","",Registro_Contenedores!B78)</f>
        <v/>
      </c>
      <c r="C78" s="7" t="str">
        <f>IF($A78="","",Registro_Contenedores!E78)</f>
        <v/>
      </c>
      <c r="D78" s="7" t="str">
        <f>IF($A78="","",Registro_Contenedores!H78)</f>
        <v/>
      </c>
      <c r="E78" s="7" t="str">
        <f>IF($A78="","",Registro_Contenedores!J78)</f>
        <v/>
      </c>
      <c r="F78" s="7" t="str">
        <f>IF($A78="","",Planif_Grupasa!G78)</f>
        <v/>
      </c>
      <c r="G78" s="7" t="str">
        <f>IF($A78="","",Planif_Grupasa!I78)</f>
        <v/>
      </c>
      <c r="H78" s="7" t="str">
        <f>IF($A78="","",Planif_Galagans!I78)</f>
        <v/>
      </c>
      <c r="I78" s="7" t="str">
        <f>IF($A78="","",Registro_Contenedores!K78)</f>
        <v/>
      </c>
      <c r="J78" s="5"/>
      <c r="K78" s="5"/>
      <c r="L78" s="5"/>
      <c r="M78" s="5"/>
      <c r="N78" s="1"/>
      <c r="O78" s="1"/>
      <c r="P78" s="1"/>
      <c r="Q78" s="1"/>
    </row>
    <row r="79" spans="1:17" x14ac:dyDescent="0.35">
      <c r="A79" s="7" t="str">
        <f>IF(Registro_Contenedores!A79="","",Registro_Contenedores!A79)</f>
        <v/>
      </c>
      <c r="B79" s="7" t="str">
        <f>IF($A79="","",Registro_Contenedores!B79)</f>
        <v/>
      </c>
      <c r="C79" s="7" t="str">
        <f>IF($A79="","",Registro_Contenedores!E79)</f>
        <v/>
      </c>
      <c r="D79" s="7" t="str">
        <f>IF($A79="","",Registro_Contenedores!H79)</f>
        <v/>
      </c>
      <c r="E79" s="7" t="str">
        <f>IF($A79="","",Registro_Contenedores!J79)</f>
        <v/>
      </c>
      <c r="F79" s="7" t="str">
        <f>IF($A79="","",Planif_Grupasa!G79)</f>
        <v/>
      </c>
      <c r="G79" s="7" t="str">
        <f>IF($A79="","",Planif_Grupasa!I79)</f>
        <v/>
      </c>
      <c r="H79" s="7" t="str">
        <f>IF($A79="","",Planif_Galagans!I79)</f>
        <v/>
      </c>
      <c r="I79" s="7" t="str">
        <f>IF($A79="","",Registro_Contenedores!K79)</f>
        <v/>
      </c>
      <c r="J79" s="5"/>
      <c r="K79" s="5"/>
      <c r="L79" s="5"/>
      <c r="M79" s="5"/>
      <c r="N79" s="1"/>
      <c r="O79" s="1"/>
      <c r="P79" s="1"/>
      <c r="Q79" s="1"/>
    </row>
    <row r="80" spans="1:17" x14ac:dyDescent="0.35">
      <c r="A80" s="7" t="str">
        <f>IF(Registro_Contenedores!A80="","",Registro_Contenedores!A80)</f>
        <v/>
      </c>
      <c r="B80" s="7" t="str">
        <f>IF($A80="","",Registro_Contenedores!B80)</f>
        <v/>
      </c>
      <c r="C80" s="7" t="str">
        <f>IF($A80="","",Registro_Contenedores!E80)</f>
        <v/>
      </c>
      <c r="D80" s="7" t="str">
        <f>IF($A80="","",Registro_Contenedores!H80)</f>
        <v/>
      </c>
      <c r="E80" s="7" t="str">
        <f>IF($A80="","",Registro_Contenedores!J80)</f>
        <v/>
      </c>
      <c r="F80" s="7" t="str">
        <f>IF($A80="","",Planif_Grupasa!G80)</f>
        <v/>
      </c>
      <c r="G80" s="7" t="str">
        <f>IF($A80="","",Planif_Grupasa!I80)</f>
        <v/>
      </c>
      <c r="H80" s="7" t="str">
        <f>IF($A80="","",Planif_Galagans!I80)</f>
        <v/>
      </c>
      <c r="I80" s="7" t="str">
        <f>IF($A80="","",Registro_Contenedores!K80)</f>
        <v/>
      </c>
      <c r="J80" s="5"/>
      <c r="K80" s="5"/>
      <c r="L80" s="5"/>
      <c r="M80" s="5"/>
      <c r="N80" s="1"/>
      <c r="O80" s="1"/>
      <c r="P80" s="1"/>
      <c r="Q80" s="1"/>
    </row>
    <row r="81" spans="1:17" x14ac:dyDescent="0.35">
      <c r="A81" s="7" t="str">
        <f>IF(Registro_Contenedores!A81="","",Registro_Contenedores!A81)</f>
        <v/>
      </c>
      <c r="B81" s="7" t="str">
        <f>IF($A81="","",Registro_Contenedores!B81)</f>
        <v/>
      </c>
      <c r="C81" s="7" t="str">
        <f>IF($A81="","",Registro_Contenedores!E81)</f>
        <v/>
      </c>
      <c r="D81" s="7" t="str">
        <f>IF($A81="","",Registro_Contenedores!H81)</f>
        <v/>
      </c>
      <c r="E81" s="7" t="str">
        <f>IF($A81="","",Registro_Contenedores!J81)</f>
        <v/>
      </c>
      <c r="F81" s="7" t="str">
        <f>IF($A81="","",Planif_Grupasa!G81)</f>
        <v/>
      </c>
      <c r="G81" s="7" t="str">
        <f>IF($A81="","",Planif_Grupasa!I81)</f>
        <v/>
      </c>
      <c r="H81" s="7" t="str">
        <f>IF($A81="","",Planif_Galagans!I81)</f>
        <v/>
      </c>
      <c r="I81" s="7" t="str">
        <f>IF($A81="","",Registro_Contenedores!K81)</f>
        <v/>
      </c>
      <c r="J81" s="5"/>
      <c r="K81" s="5"/>
      <c r="L81" s="5"/>
      <c r="M81" s="5"/>
      <c r="N81" s="1"/>
      <c r="O81" s="1"/>
      <c r="P81" s="1"/>
      <c r="Q81" s="1"/>
    </row>
    <row r="82" spans="1:17" x14ac:dyDescent="0.35">
      <c r="A82" s="7" t="str">
        <f>IF(Registro_Contenedores!A82="","",Registro_Contenedores!A82)</f>
        <v/>
      </c>
      <c r="B82" s="7" t="str">
        <f>IF($A82="","",Registro_Contenedores!B82)</f>
        <v/>
      </c>
      <c r="C82" s="7" t="str">
        <f>IF($A82="","",Registro_Contenedores!E82)</f>
        <v/>
      </c>
      <c r="D82" s="7" t="str">
        <f>IF($A82="","",Registro_Contenedores!H82)</f>
        <v/>
      </c>
      <c r="E82" s="7" t="str">
        <f>IF($A82="","",Registro_Contenedores!J82)</f>
        <v/>
      </c>
      <c r="F82" s="7" t="str">
        <f>IF($A82="","",Planif_Grupasa!G82)</f>
        <v/>
      </c>
      <c r="G82" s="7" t="str">
        <f>IF($A82="","",Planif_Grupasa!I82)</f>
        <v/>
      </c>
      <c r="H82" s="7" t="str">
        <f>IF($A82="","",Planif_Galagans!I82)</f>
        <v/>
      </c>
      <c r="I82" s="7" t="str">
        <f>IF($A82="","",Registro_Contenedores!K82)</f>
        <v/>
      </c>
      <c r="J82" s="5"/>
      <c r="K82" s="5"/>
      <c r="L82" s="5"/>
      <c r="M82" s="5"/>
      <c r="N82" s="1"/>
      <c r="O82" s="1"/>
      <c r="P82" s="1"/>
      <c r="Q82" s="1"/>
    </row>
    <row r="83" spans="1:17" x14ac:dyDescent="0.35">
      <c r="A83" s="7" t="str">
        <f>IF(Registro_Contenedores!A83="","",Registro_Contenedores!A83)</f>
        <v/>
      </c>
      <c r="B83" s="7" t="str">
        <f>IF($A83="","",Registro_Contenedores!B83)</f>
        <v/>
      </c>
      <c r="C83" s="7" t="str">
        <f>IF($A83="","",Registro_Contenedores!E83)</f>
        <v/>
      </c>
      <c r="D83" s="7" t="str">
        <f>IF($A83="","",Registro_Contenedores!H83)</f>
        <v/>
      </c>
      <c r="E83" s="7" t="str">
        <f>IF($A83="","",Registro_Contenedores!J83)</f>
        <v/>
      </c>
      <c r="F83" s="7" t="str">
        <f>IF($A83="","",Planif_Grupasa!G83)</f>
        <v/>
      </c>
      <c r="G83" s="7" t="str">
        <f>IF($A83="","",Planif_Grupasa!I83)</f>
        <v/>
      </c>
      <c r="H83" s="7" t="str">
        <f>IF($A83="","",Planif_Galagans!I83)</f>
        <v/>
      </c>
      <c r="I83" s="7" t="str">
        <f>IF($A83="","",Registro_Contenedores!K83)</f>
        <v/>
      </c>
      <c r="J83" s="5"/>
      <c r="K83" s="5"/>
      <c r="L83" s="5"/>
      <c r="M83" s="5"/>
      <c r="N83" s="1"/>
      <c r="O83" s="1"/>
      <c r="P83" s="1"/>
      <c r="Q83" s="1"/>
    </row>
    <row r="84" spans="1:17" x14ac:dyDescent="0.35">
      <c r="A84" s="7" t="str">
        <f>IF(Registro_Contenedores!A84="","",Registro_Contenedores!A84)</f>
        <v/>
      </c>
      <c r="B84" s="7" t="str">
        <f>IF($A84="","",Registro_Contenedores!B84)</f>
        <v/>
      </c>
      <c r="C84" s="7" t="str">
        <f>IF($A84="","",Registro_Contenedores!E84)</f>
        <v/>
      </c>
      <c r="D84" s="7" t="str">
        <f>IF($A84="","",Registro_Contenedores!H84)</f>
        <v/>
      </c>
      <c r="E84" s="7" t="str">
        <f>IF($A84="","",Registro_Contenedores!J84)</f>
        <v/>
      </c>
      <c r="F84" s="7" t="str">
        <f>IF($A84="","",Planif_Grupasa!G84)</f>
        <v/>
      </c>
      <c r="G84" s="7" t="str">
        <f>IF($A84="","",Planif_Grupasa!I84)</f>
        <v/>
      </c>
      <c r="H84" s="7" t="str">
        <f>IF($A84="","",Planif_Galagans!I84)</f>
        <v/>
      </c>
      <c r="I84" s="7" t="str">
        <f>IF($A84="","",Registro_Contenedores!K84)</f>
        <v/>
      </c>
      <c r="J84" s="5"/>
      <c r="K84" s="5"/>
      <c r="L84" s="5"/>
      <c r="M84" s="5"/>
      <c r="N84" s="1"/>
      <c r="O84" s="1"/>
      <c r="P84" s="1"/>
      <c r="Q84" s="1"/>
    </row>
    <row r="85" spans="1:17" x14ac:dyDescent="0.35">
      <c r="A85" s="7" t="str">
        <f>IF(Registro_Contenedores!A85="","",Registro_Contenedores!A85)</f>
        <v/>
      </c>
      <c r="B85" s="7" t="str">
        <f>IF($A85="","",Registro_Contenedores!B85)</f>
        <v/>
      </c>
      <c r="C85" s="7" t="str">
        <f>IF($A85="","",Registro_Contenedores!E85)</f>
        <v/>
      </c>
      <c r="D85" s="7" t="str">
        <f>IF($A85="","",Registro_Contenedores!H85)</f>
        <v/>
      </c>
      <c r="E85" s="7" t="str">
        <f>IF($A85="","",Registro_Contenedores!J85)</f>
        <v/>
      </c>
      <c r="F85" s="7" t="str">
        <f>IF($A85="","",Planif_Grupasa!G85)</f>
        <v/>
      </c>
      <c r="G85" s="7" t="str">
        <f>IF($A85="","",Planif_Grupasa!I85)</f>
        <v/>
      </c>
      <c r="H85" s="7" t="str">
        <f>IF($A85="","",Planif_Galagans!I85)</f>
        <v/>
      </c>
      <c r="I85" s="7" t="str">
        <f>IF($A85="","",Registro_Contenedores!K85)</f>
        <v/>
      </c>
      <c r="J85" s="5"/>
      <c r="K85" s="5"/>
      <c r="L85" s="5"/>
      <c r="M85" s="5"/>
      <c r="N85" s="1"/>
      <c r="O85" s="1"/>
      <c r="P85" s="1"/>
      <c r="Q85" s="1"/>
    </row>
    <row r="86" spans="1:17" x14ac:dyDescent="0.35">
      <c r="A86" s="7" t="str">
        <f>IF(Registro_Contenedores!A86="","",Registro_Contenedores!A86)</f>
        <v/>
      </c>
      <c r="B86" s="7" t="str">
        <f>IF($A86="","",Registro_Contenedores!B86)</f>
        <v/>
      </c>
      <c r="C86" s="7" t="str">
        <f>IF($A86="","",Registro_Contenedores!E86)</f>
        <v/>
      </c>
      <c r="D86" s="7" t="str">
        <f>IF($A86="","",Registro_Contenedores!H86)</f>
        <v/>
      </c>
      <c r="E86" s="7" t="str">
        <f>IF($A86="","",Registro_Contenedores!J86)</f>
        <v/>
      </c>
      <c r="F86" s="7" t="str">
        <f>IF($A86="","",Planif_Grupasa!G86)</f>
        <v/>
      </c>
      <c r="G86" s="7" t="str">
        <f>IF($A86="","",Planif_Grupasa!I86)</f>
        <v/>
      </c>
      <c r="H86" s="7" t="str">
        <f>IF($A86="","",Planif_Galagans!I86)</f>
        <v/>
      </c>
      <c r="I86" s="7" t="str">
        <f>IF($A86="","",Registro_Contenedores!K86)</f>
        <v/>
      </c>
      <c r="J86" s="5"/>
      <c r="K86" s="5"/>
      <c r="L86" s="5"/>
      <c r="M86" s="5"/>
      <c r="N86" s="1"/>
      <c r="O86" s="1"/>
      <c r="P86" s="1"/>
      <c r="Q86" s="1"/>
    </row>
    <row r="87" spans="1:17" x14ac:dyDescent="0.35">
      <c r="A87" s="7" t="str">
        <f>IF(Registro_Contenedores!A87="","",Registro_Contenedores!A87)</f>
        <v/>
      </c>
      <c r="B87" s="7" t="str">
        <f>IF($A87="","",Registro_Contenedores!B87)</f>
        <v/>
      </c>
      <c r="C87" s="7" t="str">
        <f>IF($A87="","",Registro_Contenedores!E87)</f>
        <v/>
      </c>
      <c r="D87" s="7" t="str">
        <f>IF($A87="","",Registro_Contenedores!H87)</f>
        <v/>
      </c>
      <c r="E87" s="7" t="str">
        <f>IF($A87="","",Registro_Contenedores!J87)</f>
        <v/>
      </c>
      <c r="F87" s="7" t="str">
        <f>IF($A87="","",Planif_Grupasa!G87)</f>
        <v/>
      </c>
      <c r="G87" s="7" t="str">
        <f>IF($A87="","",Planif_Grupasa!I87)</f>
        <v/>
      </c>
      <c r="H87" s="7" t="str">
        <f>IF($A87="","",Planif_Galagans!I87)</f>
        <v/>
      </c>
      <c r="I87" s="7" t="str">
        <f>IF($A87="","",Registro_Contenedores!K87)</f>
        <v/>
      </c>
      <c r="J87" s="5"/>
      <c r="K87" s="5"/>
      <c r="L87" s="5"/>
      <c r="M87" s="5"/>
      <c r="N87" s="1"/>
      <c r="O87" s="1"/>
      <c r="P87" s="1"/>
      <c r="Q87" s="1"/>
    </row>
    <row r="88" spans="1:17" x14ac:dyDescent="0.35">
      <c r="A88" s="7" t="str">
        <f>IF(Registro_Contenedores!A88="","",Registro_Contenedores!A88)</f>
        <v/>
      </c>
      <c r="B88" s="7" t="str">
        <f>IF($A88="","",Registro_Contenedores!B88)</f>
        <v/>
      </c>
      <c r="C88" s="7" t="str">
        <f>IF($A88="","",Registro_Contenedores!E88)</f>
        <v/>
      </c>
      <c r="D88" s="7" t="str">
        <f>IF($A88="","",Registro_Contenedores!H88)</f>
        <v/>
      </c>
      <c r="E88" s="7" t="str">
        <f>IF($A88="","",Registro_Contenedores!J88)</f>
        <v/>
      </c>
      <c r="F88" s="7" t="str">
        <f>IF($A88="","",Planif_Grupasa!G88)</f>
        <v/>
      </c>
      <c r="G88" s="7" t="str">
        <f>IF($A88="","",Planif_Grupasa!I88)</f>
        <v/>
      </c>
      <c r="H88" s="7" t="str">
        <f>IF($A88="","",Planif_Galagans!I88)</f>
        <v/>
      </c>
      <c r="I88" s="7" t="str">
        <f>IF($A88="","",Registro_Contenedores!K88)</f>
        <v/>
      </c>
      <c r="J88" s="5"/>
      <c r="K88" s="5"/>
      <c r="L88" s="5"/>
      <c r="M88" s="5"/>
      <c r="N88" s="1"/>
      <c r="O88" s="1"/>
      <c r="P88" s="1"/>
      <c r="Q88" s="1"/>
    </row>
    <row r="89" spans="1:17" x14ac:dyDescent="0.35">
      <c r="A89" s="7" t="str">
        <f>IF(Registro_Contenedores!A89="","",Registro_Contenedores!A89)</f>
        <v/>
      </c>
      <c r="B89" s="7" t="str">
        <f>IF($A89="","",Registro_Contenedores!B89)</f>
        <v/>
      </c>
      <c r="C89" s="7" t="str">
        <f>IF($A89="","",Registro_Contenedores!E89)</f>
        <v/>
      </c>
      <c r="D89" s="7" t="str">
        <f>IF($A89="","",Registro_Contenedores!H89)</f>
        <v/>
      </c>
      <c r="E89" s="7" t="str">
        <f>IF($A89="","",Registro_Contenedores!J89)</f>
        <v/>
      </c>
      <c r="F89" s="7" t="str">
        <f>IF($A89="","",Planif_Grupasa!G89)</f>
        <v/>
      </c>
      <c r="G89" s="7" t="str">
        <f>IF($A89="","",Planif_Grupasa!I89)</f>
        <v/>
      </c>
      <c r="H89" s="7" t="str">
        <f>IF($A89="","",Planif_Galagans!I89)</f>
        <v/>
      </c>
      <c r="I89" s="7" t="str">
        <f>IF($A89="","",Registro_Contenedores!K89)</f>
        <v/>
      </c>
      <c r="J89" s="5"/>
      <c r="K89" s="5"/>
      <c r="L89" s="5"/>
      <c r="M89" s="5"/>
      <c r="N89" s="1"/>
      <c r="O89" s="1"/>
      <c r="P89" s="1"/>
      <c r="Q89" s="1"/>
    </row>
    <row r="90" spans="1:17" x14ac:dyDescent="0.35">
      <c r="A90" s="7" t="str">
        <f>IF(Registro_Contenedores!A90="","",Registro_Contenedores!A90)</f>
        <v/>
      </c>
      <c r="B90" s="7" t="str">
        <f>IF($A90="","",Registro_Contenedores!B90)</f>
        <v/>
      </c>
      <c r="C90" s="7" t="str">
        <f>IF($A90="","",Registro_Contenedores!E90)</f>
        <v/>
      </c>
      <c r="D90" s="7" t="str">
        <f>IF($A90="","",Registro_Contenedores!H90)</f>
        <v/>
      </c>
      <c r="E90" s="7" t="str">
        <f>IF($A90="","",Registro_Contenedores!J90)</f>
        <v/>
      </c>
      <c r="F90" s="7" t="str">
        <f>IF($A90="","",Planif_Grupasa!G90)</f>
        <v/>
      </c>
      <c r="G90" s="7" t="str">
        <f>IF($A90="","",Planif_Grupasa!I90)</f>
        <v/>
      </c>
      <c r="H90" s="7" t="str">
        <f>IF($A90="","",Planif_Galagans!I90)</f>
        <v/>
      </c>
      <c r="I90" s="7" t="str">
        <f>IF($A90="","",Registro_Contenedores!K90)</f>
        <v/>
      </c>
      <c r="J90" s="5"/>
      <c r="K90" s="5"/>
      <c r="L90" s="5"/>
      <c r="M90" s="5"/>
      <c r="N90" s="1"/>
      <c r="O90" s="1"/>
      <c r="P90" s="1"/>
      <c r="Q90" s="1"/>
    </row>
    <row r="91" spans="1:17" x14ac:dyDescent="0.35">
      <c r="A91" s="7" t="str">
        <f>IF(Registro_Contenedores!A91="","",Registro_Contenedores!A91)</f>
        <v/>
      </c>
      <c r="B91" s="7" t="str">
        <f>IF($A91="","",Registro_Contenedores!B91)</f>
        <v/>
      </c>
      <c r="C91" s="7" t="str">
        <f>IF($A91="","",Registro_Contenedores!E91)</f>
        <v/>
      </c>
      <c r="D91" s="7" t="str">
        <f>IF($A91="","",Registro_Contenedores!H91)</f>
        <v/>
      </c>
      <c r="E91" s="7" t="str">
        <f>IF($A91="","",Registro_Contenedores!J91)</f>
        <v/>
      </c>
      <c r="F91" s="7" t="str">
        <f>IF($A91="","",Planif_Grupasa!G91)</f>
        <v/>
      </c>
      <c r="G91" s="7" t="str">
        <f>IF($A91="","",Planif_Grupasa!I91)</f>
        <v/>
      </c>
      <c r="H91" s="7" t="str">
        <f>IF($A91="","",Planif_Galagans!I91)</f>
        <v/>
      </c>
      <c r="I91" s="7" t="str">
        <f>IF($A91="","",Registro_Contenedores!K91)</f>
        <v/>
      </c>
      <c r="J91" s="5"/>
      <c r="K91" s="5"/>
      <c r="L91" s="5"/>
      <c r="M91" s="5"/>
      <c r="N91" s="1"/>
      <c r="O91" s="1"/>
      <c r="P91" s="1"/>
      <c r="Q91" s="1"/>
    </row>
    <row r="92" spans="1:17" x14ac:dyDescent="0.35">
      <c r="A92" s="7" t="str">
        <f>IF(Registro_Contenedores!A92="","",Registro_Contenedores!A92)</f>
        <v/>
      </c>
      <c r="B92" s="7" t="str">
        <f>IF($A92="","",Registro_Contenedores!B92)</f>
        <v/>
      </c>
      <c r="C92" s="7" t="str">
        <f>IF($A92="","",Registro_Contenedores!E92)</f>
        <v/>
      </c>
      <c r="D92" s="7" t="str">
        <f>IF($A92="","",Registro_Contenedores!H92)</f>
        <v/>
      </c>
      <c r="E92" s="7" t="str">
        <f>IF($A92="","",Registro_Contenedores!J92)</f>
        <v/>
      </c>
      <c r="F92" s="7" t="str">
        <f>IF($A92="","",Planif_Grupasa!G92)</f>
        <v/>
      </c>
      <c r="G92" s="7" t="str">
        <f>IF($A92="","",Planif_Grupasa!I92)</f>
        <v/>
      </c>
      <c r="H92" s="7" t="str">
        <f>IF($A92="","",Planif_Galagans!I92)</f>
        <v/>
      </c>
      <c r="I92" s="7" t="str">
        <f>IF($A92="","",Registro_Contenedores!K92)</f>
        <v/>
      </c>
      <c r="J92" s="5"/>
      <c r="K92" s="5"/>
      <c r="L92" s="5"/>
      <c r="M92" s="5"/>
      <c r="N92" s="1"/>
      <c r="O92" s="1"/>
      <c r="P92" s="1"/>
      <c r="Q92" s="1"/>
    </row>
    <row r="93" spans="1:17" x14ac:dyDescent="0.35">
      <c r="A93" s="7" t="str">
        <f>IF(Registro_Contenedores!A93="","",Registro_Contenedores!A93)</f>
        <v/>
      </c>
      <c r="B93" s="7" t="str">
        <f>IF($A93="","",Registro_Contenedores!B93)</f>
        <v/>
      </c>
      <c r="C93" s="7" t="str">
        <f>IF($A93="","",Registro_Contenedores!E93)</f>
        <v/>
      </c>
      <c r="D93" s="7" t="str">
        <f>IF($A93="","",Registro_Contenedores!H93)</f>
        <v/>
      </c>
      <c r="E93" s="7" t="str">
        <f>IF($A93="","",Registro_Contenedores!J93)</f>
        <v/>
      </c>
      <c r="F93" s="7" t="str">
        <f>IF($A93="","",Planif_Grupasa!G93)</f>
        <v/>
      </c>
      <c r="G93" s="7" t="str">
        <f>IF($A93="","",Planif_Grupasa!I93)</f>
        <v/>
      </c>
      <c r="H93" s="7" t="str">
        <f>IF($A93="","",Planif_Galagans!I93)</f>
        <v/>
      </c>
      <c r="I93" s="7" t="str">
        <f>IF($A93="","",Registro_Contenedores!K93)</f>
        <v/>
      </c>
      <c r="J93" s="5"/>
      <c r="K93" s="5"/>
      <c r="L93" s="5"/>
      <c r="M93" s="5"/>
      <c r="N93" s="1"/>
      <c r="O93" s="1"/>
      <c r="P93" s="1"/>
      <c r="Q93" s="1"/>
    </row>
    <row r="94" spans="1:17" x14ac:dyDescent="0.35">
      <c r="A94" s="7" t="str">
        <f>IF(Registro_Contenedores!A94="","",Registro_Contenedores!A94)</f>
        <v/>
      </c>
      <c r="B94" s="7" t="str">
        <f>IF($A94="","",Registro_Contenedores!B94)</f>
        <v/>
      </c>
      <c r="C94" s="7" t="str">
        <f>IF($A94="","",Registro_Contenedores!E94)</f>
        <v/>
      </c>
      <c r="D94" s="7" t="str">
        <f>IF($A94="","",Registro_Contenedores!H94)</f>
        <v/>
      </c>
      <c r="E94" s="7" t="str">
        <f>IF($A94="","",Registro_Contenedores!J94)</f>
        <v/>
      </c>
      <c r="F94" s="7" t="str">
        <f>IF($A94="","",Planif_Grupasa!G94)</f>
        <v/>
      </c>
      <c r="G94" s="7" t="str">
        <f>IF($A94="","",Planif_Grupasa!I94)</f>
        <v/>
      </c>
      <c r="H94" s="7" t="str">
        <f>IF($A94="","",Planif_Galagans!I94)</f>
        <v/>
      </c>
      <c r="I94" s="7" t="str">
        <f>IF($A94="","",Registro_Contenedores!K94)</f>
        <v/>
      </c>
      <c r="J94" s="5"/>
      <c r="K94" s="5"/>
      <c r="L94" s="5"/>
      <c r="M94" s="5"/>
      <c r="N94" s="1"/>
      <c r="O94" s="1"/>
      <c r="P94" s="1"/>
      <c r="Q94" s="1"/>
    </row>
    <row r="95" spans="1:17" x14ac:dyDescent="0.35">
      <c r="A95" s="7" t="str">
        <f>IF(Registro_Contenedores!A95="","",Registro_Contenedores!A95)</f>
        <v/>
      </c>
      <c r="B95" s="7" t="str">
        <f>IF($A95="","",Registro_Contenedores!B95)</f>
        <v/>
      </c>
      <c r="C95" s="7" t="str">
        <f>IF($A95="","",Registro_Contenedores!E95)</f>
        <v/>
      </c>
      <c r="D95" s="7" t="str">
        <f>IF($A95="","",Registro_Contenedores!H95)</f>
        <v/>
      </c>
      <c r="E95" s="7" t="str">
        <f>IF($A95="","",Registro_Contenedores!J95)</f>
        <v/>
      </c>
      <c r="F95" s="7" t="str">
        <f>IF($A95="","",Planif_Grupasa!G95)</f>
        <v/>
      </c>
      <c r="G95" s="7" t="str">
        <f>IF($A95="","",Planif_Grupasa!I95)</f>
        <v/>
      </c>
      <c r="H95" s="7" t="str">
        <f>IF($A95="","",Planif_Galagans!I95)</f>
        <v/>
      </c>
      <c r="I95" s="7" t="str">
        <f>IF($A95="","",Registro_Contenedores!K95)</f>
        <v/>
      </c>
      <c r="J95" s="5"/>
      <c r="K95" s="5"/>
      <c r="L95" s="5"/>
      <c r="M95" s="5"/>
      <c r="N95" s="1"/>
      <c r="O95" s="1"/>
      <c r="P95" s="1"/>
      <c r="Q95" s="1"/>
    </row>
    <row r="96" spans="1:17" x14ac:dyDescent="0.35">
      <c r="A96" s="7" t="str">
        <f>IF(Registro_Contenedores!A96="","",Registro_Contenedores!A96)</f>
        <v/>
      </c>
      <c r="B96" s="7" t="str">
        <f>IF($A96="","",Registro_Contenedores!B96)</f>
        <v/>
      </c>
      <c r="C96" s="7" t="str">
        <f>IF($A96="","",Registro_Contenedores!E96)</f>
        <v/>
      </c>
      <c r="D96" s="7" t="str">
        <f>IF($A96="","",Registro_Contenedores!H96)</f>
        <v/>
      </c>
      <c r="E96" s="7" t="str">
        <f>IF($A96="","",Registro_Contenedores!J96)</f>
        <v/>
      </c>
      <c r="F96" s="7" t="str">
        <f>IF($A96="","",Planif_Grupasa!G96)</f>
        <v/>
      </c>
      <c r="G96" s="7" t="str">
        <f>IF($A96="","",Planif_Grupasa!I96)</f>
        <v/>
      </c>
      <c r="H96" s="7" t="str">
        <f>IF($A96="","",Planif_Galagans!I96)</f>
        <v/>
      </c>
      <c r="I96" s="7" t="str">
        <f>IF($A96="","",Registro_Contenedores!K96)</f>
        <v/>
      </c>
      <c r="J96" s="5"/>
      <c r="K96" s="5"/>
      <c r="L96" s="5"/>
      <c r="M96" s="5"/>
      <c r="N96" s="1"/>
      <c r="O96" s="1"/>
      <c r="P96" s="1"/>
      <c r="Q96" s="1"/>
    </row>
    <row r="97" spans="1:17" x14ac:dyDescent="0.35">
      <c r="A97" s="7" t="str">
        <f>IF(Registro_Contenedores!A97="","",Registro_Contenedores!A97)</f>
        <v/>
      </c>
      <c r="B97" s="7" t="str">
        <f>IF($A97="","",Registro_Contenedores!B97)</f>
        <v/>
      </c>
      <c r="C97" s="7" t="str">
        <f>IF($A97="","",Registro_Contenedores!E97)</f>
        <v/>
      </c>
      <c r="D97" s="7" t="str">
        <f>IF($A97="","",Registro_Contenedores!H97)</f>
        <v/>
      </c>
      <c r="E97" s="7" t="str">
        <f>IF($A97="","",Registro_Contenedores!J97)</f>
        <v/>
      </c>
      <c r="F97" s="7" t="str">
        <f>IF($A97="","",Planif_Grupasa!G97)</f>
        <v/>
      </c>
      <c r="G97" s="7" t="str">
        <f>IF($A97="","",Planif_Grupasa!I97)</f>
        <v/>
      </c>
      <c r="H97" s="7" t="str">
        <f>IF($A97="","",Planif_Galagans!I97)</f>
        <v/>
      </c>
      <c r="I97" s="7" t="str">
        <f>IF($A97="","",Registro_Contenedores!K97)</f>
        <v/>
      </c>
      <c r="J97" s="5"/>
      <c r="K97" s="5"/>
      <c r="L97" s="5"/>
      <c r="M97" s="5"/>
      <c r="N97" s="1"/>
      <c r="O97" s="1"/>
      <c r="P97" s="1"/>
      <c r="Q97" s="1"/>
    </row>
    <row r="98" spans="1:17" x14ac:dyDescent="0.35">
      <c r="A98" s="7" t="str">
        <f>IF(Registro_Contenedores!A98="","",Registro_Contenedores!A98)</f>
        <v/>
      </c>
      <c r="B98" s="7" t="str">
        <f>IF($A98="","",Registro_Contenedores!B98)</f>
        <v/>
      </c>
      <c r="C98" s="7" t="str">
        <f>IF($A98="","",Registro_Contenedores!E98)</f>
        <v/>
      </c>
      <c r="D98" s="7" t="str">
        <f>IF($A98="","",Registro_Contenedores!H98)</f>
        <v/>
      </c>
      <c r="E98" s="7" t="str">
        <f>IF($A98="","",Registro_Contenedores!J98)</f>
        <v/>
      </c>
      <c r="F98" s="7" t="str">
        <f>IF($A98="","",Planif_Grupasa!G98)</f>
        <v/>
      </c>
      <c r="G98" s="7" t="str">
        <f>IF($A98="","",Planif_Grupasa!I98)</f>
        <v/>
      </c>
      <c r="H98" s="7" t="str">
        <f>IF($A98="","",Planif_Galagans!I98)</f>
        <v/>
      </c>
      <c r="I98" s="7" t="str">
        <f>IF($A98="","",Registro_Contenedores!K98)</f>
        <v/>
      </c>
      <c r="J98" s="5"/>
      <c r="K98" s="5"/>
      <c r="L98" s="5"/>
      <c r="M98" s="5"/>
      <c r="N98" s="1"/>
      <c r="O98" s="1"/>
      <c r="P98" s="1"/>
      <c r="Q98" s="1"/>
    </row>
    <row r="99" spans="1:17" x14ac:dyDescent="0.35">
      <c r="A99" s="7" t="str">
        <f>IF(Registro_Contenedores!A99="","",Registro_Contenedores!A99)</f>
        <v/>
      </c>
      <c r="B99" s="7" t="str">
        <f>IF($A99="","",Registro_Contenedores!B99)</f>
        <v/>
      </c>
      <c r="C99" s="7" t="str">
        <f>IF($A99="","",Registro_Contenedores!E99)</f>
        <v/>
      </c>
      <c r="D99" s="7" t="str">
        <f>IF($A99="","",Registro_Contenedores!H99)</f>
        <v/>
      </c>
      <c r="E99" s="7" t="str">
        <f>IF($A99="","",Registro_Contenedores!J99)</f>
        <v/>
      </c>
      <c r="F99" s="7" t="str">
        <f>IF($A99="","",Planif_Grupasa!G99)</f>
        <v/>
      </c>
      <c r="G99" s="7" t="str">
        <f>IF($A99="","",Planif_Grupasa!I99)</f>
        <v/>
      </c>
      <c r="H99" s="7" t="str">
        <f>IF($A99="","",Planif_Galagans!I99)</f>
        <v/>
      </c>
      <c r="I99" s="7" t="str">
        <f>IF($A99="","",Registro_Contenedores!K99)</f>
        <v/>
      </c>
      <c r="J99" s="5"/>
      <c r="K99" s="5"/>
      <c r="L99" s="5"/>
      <c r="M99" s="5"/>
      <c r="N99" s="1"/>
      <c r="O99" s="1"/>
      <c r="P99" s="1"/>
      <c r="Q99" s="1"/>
    </row>
    <row r="100" spans="1:17" x14ac:dyDescent="0.35">
      <c r="A100" s="7" t="str">
        <f>IF(Registro_Contenedores!A100="","",Registro_Contenedores!A100)</f>
        <v/>
      </c>
      <c r="B100" s="7" t="str">
        <f>IF($A100="","",Registro_Contenedores!B100)</f>
        <v/>
      </c>
      <c r="C100" s="7" t="str">
        <f>IF($A100="","",Registro_Contenedores!E100)</f>
        <v/>
      </c>
      <c r="D100" s="7" t="str">
        <f>IF($A100="","",Registro_Contenedores!H100)</f>
        <v/>
      </c>
      <c r="E100" s="7" t="str">
        <f>IF($A100="","",Registro_Contenedores!J100)</f>
        <v/>
      </c>
      <c r="F100" s="7" t="str">
        <f>IF($A100="","",Planif_Grupasa!G100)</f>
        <v/>
      </c>
      <c r="G100" s="7" t="str">
        <f>IF($A100="","",Planif_Grupasa!I100)</f>
        <v/>
      </c>
      <c r="H100" s="7" t="str">
        <f>IF($A100="","",Planif_Galagans!I100)</f>
        <v/>
      </c>
      <c r="I100" s="7" t="str">
        <f>IF($A100="","",Registro_Contenedores!K100)</f>
        <v/>
      </c>
      <c r="J100" s="5"/>
      <c r="K100" s="5"/>
      <c r="L100" s="5"/>
      <c r="M100" s="5"/>
      <c r="N100" s="1"/>
      <c r="O100" s="1"/>
      <c r="P100" s="1"/>
      <c r="Q100" s="1"/>
    </row>
    <row r="101" spans="1:17" x14ac:dyDescent="0.35">
      <c r="A101" s="7" t="str">
        <f>IF(Registro_Contenedores!A101="","",Registro_Contenedores!A101)</f>
        <v/>
      </c>
      <c r="B101" s="7" t="str">
        <f>IF($A101="","",Registro_Contenedores!B101)</f>
        <v/>
      </c>
      <c r="C101" s="7" t="str">
        <f>IF($A101="","",Registro_Contenedores!E101)</f>
        <v/>
      </c>
      <c r="D101" s="7" t="str">
        <f>IF($A101="","",Registro_Contenedores!H101)</f>
        <v/>
      </c>
      <c r="E101" s="7" t="str">
        <f>IF($A101="","",Registro_Contenedores!J101)</f>
        <v/>
      </c>
      <c r="F101" s="7" t="str">
        <f>IF($A101="","",Planif_Grupasa!G101)</f>
        <v/>
      </c>
      <c r="G101" s="7" t="str">
        <f>IF($A101="","",Planif_Grupasa!I101)</f>
        <v/>
      </c>
      <c r="H101" s="7" t="str">
        <f>IF($A101="","",Planif_Galagans!I101)</f>
        <v/>
      </c>
      <c r="I101" s="7" t="str">
        <f>IF($A101="","",Registro_Contenedores!K101)</f>
        <v/>
      </c>
      <c r="J101" s="5"/>
      <c r="K101" s="5"/>
      <c r="L101" s="5"/>
      <c r="M101" s="5"/>
      <c r="N101" s="1"/>
      <c r="O101" s="1"/>
      <c r="P101" s="1"/>
      <c r="Q101" s="1"/>
    </row>
    <row r="102" spans="1:17" x14ac:dyDescent="0.35">
      <c r="A102" s="7" t="str">
        <f>IF(Registro_Contenedores!A102="","",Registro_Contenedores!A102)</f>
        <v/>
      </c>
      <c r="B102" s="7" t="str">
        <f>IF($A102="","",Registro_Contenedores!B102)</f>
        <v/>
      </c>
      <c r="C102" s="7" t="str">
        <f>IF($A102="","",Registro_Contenedores!E102)</f>
        <v/>
      </c>
      <c r="D102" s="7" t="str">
        <f>IF($A102="","",Registro_Contenedores!H102)</f>
        <v/>
      </c>
      <c r="E102" s="7" t="str">
        <f>IF($A102="","",Registro_Contenedores!J102)</f>
        <v/>
      </c>
      <c r="F102" s="7" t="str">
        <f>IF($A102="","",Planif_Grupasa!G102)</f>
        <v/>
      </c>
      <c r="G102" s="7" t="str">
        <f>IF($A102="","",Planif_Grupasa!I102)</f>
        <v/>
      </c>
      <c r="H102" s="7" t="str">
        <f>IF($A102="","",Planif_Galagans!I102)</f>
        <v/>
      </c>
      <c r="I102" s="7" t="str">
        <f>IF($A102="","",Registro_Contenedores!K102)</f>
        <v/>
      </c>
      <c r="J102" s="5"/>
      <c r="K102" s="5"/>
      <c r="L102" s="5"/>
      <c r="M102" s="5"/>
      <c r="N102" s="1"/>
      <c r="O102" s="1"/>
      <c r="P102" s="1"/>
      <c r="Q102" s="1"/>
    </row>
    <row r="103" spans="1:17" x14ac:dyDescent="0.35">
      <c r="A103" s="7" t="str">
        <f>IF(Registro_Contenedores!A103="","",Registro_Contenedores!A103)</f>
        <v/>
      </c>
      <c r="B103" s="7" t="str">
        <f>IF($A103="","",Registro_Contenedores!B103)</f>
        <v/>
      </c>
      <c r="C103" s="7" t="str">
        <f>IF($A103="","",Registro_Contenedores!E103)</f>
        <v/>
      </c>
      <c r="D103" s="7" t="str">
        <f>IF($A103="","",Registro_Contenedores!H103)</f>
        <v/>
      </c>
      <c r="E103" s="7" t="str">
        <f>IF($A103="","",Registro_Contenedores!J103)</f>
        <v/>
      </c>
      <c r="F103" s="7" t="str">
        <f>IF($A103="","",Planif_Grupasa!G103)</f>
        <v/>
      </c>
      <c r="G103" s="7" t="str">
        <f>IF($A103="","",Planif_Grupasa!I103)</f>
        <v/>
      </c>
      <c r="H103" s="7" t="str">
        <f>IF($A103="","",Planif_Galagans!I103)</f>
        <v/>
      </c>
      <c r="I103" s="7" t="str">
        <f>IF($A103="","",Registro_Contenedores!K103)</f>
        <v/>
      </c>
      <c r="J103" s="5"/>
      <c r="K103" s="5"/>
      <c r="L103" s="5"/>
      <c r="M103" s="5"/>
      <c r="N103" s="1"/>
      <c r="O103" s="1"/>
      <c r="P103" s="1"/>
      <c r="Q103" s="1"/>
    </row>
    <row r="104" spans="1:17" x14ac:dyDescent="0.35">
      <c r="A104" s="7" t="str">
        <f>IF(Registro_Contenedores!A104="","",Registro_Contenedores!A104)</f>
        <v/>
      </c>
      <c r="B104" s="7" t="str">
        <f>IF($A104="","",Registro_Contenedores!B104)</f>
        <v/>
      </c>
      <c r="C104" s="7" t="str">
        <f>IF($A104="","",Registro_Contenedores!E104)</f>
        <v/>
      </c>
      <c r="D104" s="7" t="str">
        <f>IF($A104="","",Registro_Contenedores!H104)</f>
        <v/>
      </c>
      <c r="E104" s="7" t="str">
        <f>IF($A104="","",Registro_Contenedores!J104)</f>
        <v/>
      </c>
      <c r="F104" s="7" t="str">
        <f>IF($A104="","",Planif_Grupasa!G104)</f>
        <v/>
      </c>
      <c r="G104" s="7" t="str">
        <f>IF($A104="","",Planif_Grupasa!I104)</f>
        <v/>
      </c>
      <c r="H104" s="7" t="str">
        <f>IF($A104="","",Planif_Galagans!I104)</f>
        <v/>
      </c>
      <c r="I104" s="7" t="str">
        <f>IF($A104="","",Registro_Contenedores!K104)</f>
        <v/>
      </c>
      <c r="J104" s="5"/>
      <c r="K104" s="5"/>
      <c r="L104" s="5"/>
      <c r="M104" s="5"/>
      <c r="N104" s="1"/>
      <c r="O104" s="1"/>
      <c r="P104" s="1"/>
      <c r="Q104" s="1"/>
    </row>
    <row r="105" spans="1:17" x14ac:dyDescent="0.35">
      <c r="A105" s="7" t="str">
        <f>IF(Registro_Contenedores!A105="","",Registro_Contenedores!A105)</f>
        <v/>
      </c>
      <c r="B105" s="7" t="str">
        <f>IF($A105="","",Registro_Contenedores!B105)</f>
        <v/>
      </c>
      <c r="C105" s="7" t="str">
        <f>IF($A105="","",Registro_Contenedores!E105)</f>
        <v/>
      </c>
      <c r="D105" s="7" t="str">
        <f>IF($A105="","",Registro_Contenedores!H105)</f>
        <v/>
      </c>
      <c r="E105" s="7" t="str">
        <f>IF($A105="","",Registro_Contenedores!J105)</f>
        <v/>
      </c>
      <c r="F105" s="7" t="str">
        <f>IF($A105="","",Planif_Grupasa!G105)</f>
        <v/>
      </c>
      <c r="G105" s="7" t="str">
        <f>IF($A105="","",Planif_Grupasa!I105)</f>
        <v/>
      </c>
      <c r="H105" s="7" t="str">
        <f>IF($A105="","",Planif_Galagans!I105)</f>
        <v/>
      </c>
      <c r="I105" s="7" t="str">
        <f>IF($A105="","",Registro_Contenedores!K105)</f>
        <v/>
      </c>
      <c r="J105" s="5"/>
      <c r="K105" s="5"/>
      <c r="L105" s="5"/>
      <c r="M105" s="5"/>
      <c r="N105" s="1"/>
      <c r="O105" s="1"/>
      <c r="P105" s="1"/>
      <c r="Q105" s="1"/>
    </row>
    <row r="106" spans="1:17" x14ac:dyDescent="0.35">
      <c r="A106" s="7" t="str">
        <f>IF(Registro_Contenedores!A106="","",Registro_Contenedores!A106)</f>
        <v/>
      </c>
      <c r="B106" s="7" t="str">
        <f>IF($A106="","",Registro_Contenedores!B106)</f>
        <v/>
      </c>
      <c r="C106" s="7" t="str">
        <f>IF($A106="","",Registro_Contenedores!E106)</f>
        <v/>
      </c>
      <c r="D106" s="7" t="str">
        <f>IF($A106="","",Registro_Contenedores!H106)</f>
        <v/>
      </c>
      <c r="E106" s="7" t="str">
        <f>IF($A106="","",Registro_Contenedores!J106)</f>
        <v/>
      </c>
      <c r="F106" s="7" t="str">
        <f>IF($A106="","",Planif_Grupasa!G106)</f>
        <v/>
      </c>
      <c r="G106" s="7" t="str">
        <f>IF($A106="","",Planif_Grupasa!I106)</f>
        <v/>
      </c>
      <c r="H106" s="7" t="str">
        <f>IF($A106="","",Planif_Galagans!I106)</f>
        <v/>
      </c>
      <c r="I106" s="7" t="str">
        <f>IF($A106="","",Registro_Contenedores!K106)</f>
        <v/>
      </c>
      <c r="J106" s="5"/>
      <c r="K106" s="5"/>
      <c r="L106" s="5"/>
      <c r="M106" s="5"/>
      <c r="N106" s="1"/>
      <c r="O106" s="1"/>
      <c r="P106" s="1"/>
      <c r="Q106" s="1"/>
    </row>
    <row r="107" spans="1:17" x14ac:dyDescent="0.35">
      <c r="A107" s="7" t="str">
        <f>IF(Registro_Contenedores!A107="","",Registro_Contenedores!A107)</f>
        <v/>
      </c>
      <c r="B107" s="7" t="str">
        <f>IF($A107="","",Registro_Contenedores!B107)</f>
        <v/>
      </c>
      <c r="C107" s="7" t="str">
        <f>IF($A107="","",Registro_Contenedores!E107)</f>
        <v/>
      </c>
      <c r="D107" s="7" t="str">
        <f>IF($A107="","",Registro_Contenedores!H107)</f>
        <v/>
      </c>
      <c r="E107" s="7" t="str">
        <f>IF($A107="","",Registro_Contenedores!J107)</f>
        <v/>
      </c>
      <c r="F107" s="7" t="str">
        <f>IF($A107="","",Planif_Grupasa!G107)</f>
        <v/>
      </c>
      <c r="G107" s="7" t="str">
        <f>IF($A107="","",Planif_Grupasa!I107)</f>
        <v/>
      </c>
      <c r="H107" s="7" t="str">
        <f>IF($A107="","",Planif_Galagans!I107)</f>
        <v/>
      </c>
      <c r="I107" s="7" t="str">
        <f>IF($A107="","",Registro_Contenedores!K107)</f>
        <v/>
      </c>
      <c r="J107" s="5"/>
      <c r="K107" s="5"/>
      <c r="L107" s="5"/>
      <c r="M107" s="5"/>
      <c r="N107" s="1"/>
      <c r="O107" s="1"/>
      <c r="P107" s="1"/>
      <c r="Q107" s="1"/>
    </row>
    <row r="108" spans="1:17" x14ac:dyDescent="0.35">
      <c r="A108" s="7" t="str">
        <f>IF(Registro_Contenedores!A108="","",Registro_Contenedores!A108)</f>
        <v/>
      </c>
      <c r="B108" s="7" t="str">
        <f>IF($A108="","",Registro_Contenedores!B108)</f>
        <v/>
      </c>
      <c r="C108" s="7" t="str">
        <f>IF($A108="","",Registro_Contenedores!E108)</f>
        <v/>
      </c>
      <c r="D108" s="7" t="str">
        <f>IF($A108="","",Registro_Contenedores!H108)</f>
        <v/>
      </c>
      <c r="E108" s="7" t="str">
        <f>IF($A108="","",Registro_Contenedores!J108)</f>
        <v/>
      </c>
      <c r="F108" s="7" t="str">
        <f>IF($A108="","",Planif_Grupasa!G108)</f>
        <v/>
      </c>
      <c r="G108" s="7" t="str">
        <f>IF($A108="","",Planif_Grupasa!I108)</f>
        <v/>
      </c>
      <c r="H108" s="7" t="str">
        <f>IF($A108="","",Planif_Galagans!I108)</f>
        <v/>
      </c>
      <c r="I108" s="7" t="str">
        <f>IF($A108="","",Registro_Contenedores!K108)</f>
        <v/>
      </c>
      <c r="J108" s="5"/>
      <c r="K108" s="5"/>
      <c r="L108" s="5"/>
      <c r="M108" s="5"/>
      <c r="N108" s="1"/>
      <c r="O108" s="1"/>
      <c r="P108" s="1"/>
      <c r="Q108" s="1"/>
    </row>
    <row r="109" spans="1:17" x14ac:dyDescent="0.35">
      <c r="A109" s="7" t="str">
        <f>IF(Registro_Contenedores!A109="","",Registro_Contenedores!A109)</f>
        <v/>
      </c>
      <c r="B109" s="7" t="str">
        <f>IF($A109="","",Registro_Contenedores!B109)</f>
        <v/>
      </c>
      <c r="C109" s="7" t="str">
        <f>IF($A109="","",Registro_Contenedores!E109)</f>
        <v/>
      </c>
      <c r="D109" s="7" t="str">
        <f>IF($A109="","",Registro_Contenedores!H109)</f>
        <v/>
      </c>
      <c r="E109" s="7" t="str">
        <f>IF($A109="","",Registro_Contenedores!J109)</f>
        <v/>
      </c>
      <c r="F109" s="7" t="str">
        <f>IF($A109="","",Planif_Grupasa!G109)</f>
        <v/>
      </c>
      <c r="G109" s="7" t="str">
        <f>IF($A109="","",Planif_Grupasa!I109)</f>
        <v/>
      </c>
      <c r="H109" s="7" t="str">
        <f>IF($A109="","",Planif_Galagans!I109)</f>
        <v/>
      </c>
      <c r="I109" s="7" t="str">
        <f>IF($A109="","",Registro_Contenedores!K109)</f>
        <v/>
      </c>
      <c r="J109" s="5"/>
      <c r="K109" s="5"/>
      <c r="L109" s="5"/>
      <c r="M109" s="5"/>
      <c r="N109" s="1"/>
      <c r="O109" s="1"/>
      <c r="P109" s="1"/>
      <c r="Q109" s="1"/>
    </row>
    <row r="110" spans="1:17" x14ac:dyDescent="0.35">
      <c r="A110" s="7" t="str">
        <f>IF(Registro_Contenedores!A110="","",Registro_Contenedores!A110)</f>
        <v/>
      </c>
      <c r="B110" s="7" t="str">
        <f>IF($A110="","",Registro_Contenedores!B110)</f>
        <v/>
      </c>
      <c r="C110" s="7" t="str">
        <f>IF($A110="","",Registro_Contenedores!E110)</f>
        <v/>
      </c>
      <c r="D110" s="7" t="str">
        <f>IF($A110="","",Registro_Contenedores!H110)</f>
        <v/>
      </c>
      <c r="E110" s="7" t="str">
        <f>IF($A110="","",Registro_Contenedores!J110)</f>
        <v/>
      </c>
      <c r="F110" s="7" t="str">
        <f>IF($A110="","",Planif_Grupasa!G110)</f>
        <v/>
      </c>
      <c r="G110" s="7" t="str">
        <f>IF($A110="","",Planif_Grupasa!I110)</f>
        <v/>
      </c>
      <c r="H110" s="7" t="str">
        <f>IF($A110="","",Planif_Galagans!I110)</f>
        <v/>
      </c>
      <c r="I110" s="7" t="str">
        <f>IF($A110="","",Registro_Contenedores!K110)</f>
        <v/>
      </c>
      <c r="J110" s="5"/>
      <c r="K110" s="5"/>
      <c r="L110" s="5"/>
      <c r="M110" s="5"/>
      <c r="N110" s="1"/>
      <c r="O110" s="1"/>
      <c r="P110" s="1"/>
      <c r="Q110" s="1"/>
    </row>
    <row r="111" spans="1:17" x14ac:dyDescent="0.35">
      <c r="A111" s="7" t="str">
        <f>IF(Registro_Contenedores!A111="","",Registro_Contenedores!A111)</f>
        <v/>
      </c>
      <c r="B111" s="7" t="str">
        <f>IF($A111="","",Registro_Contenedores!B111)</f>
        <v/>
      </c>
      <c r="C111" s="7" t="str">
        <f>IF($A111="","",Registro_Contenedores!E111)</f>
        <v/>
      </c>
      <c r="D111" s="7" t="str">
        <f>IF($A111="","",Registro_Contenedores!H111)</f>
        <v/>
      </c>
      <c r="E111" s="7" t="str">
        <f>IF($A111="","",Registro_Contenedores!J111)</f>
        <v/>
      </c>
      <c r="F111" s="7" t="str">
        <f>IF($A111="","",Planif_Grupasa!G111)</f>
        <v/>
      </c>
      <c r="G111" s="7" t="str">
        <f>IF($A111="","",Planif_Grupasa!I111)</f>
        <v/>
      </c>
      <c r="H111" s="7" t="str">
        <f>IF($A111="","",Planif_Galagans!I111)</f>
        <v/>
      </c>
      <c r="I111" s="7" t="str">
        <f>IF($A111="","",Registro_Contenedores!K111)</f>
        <v/>
      </c>
      <c r="J111" s="5"/>
      <c r="K111" s="5"/>
      <c r="L111" s="5"/>
      <c r="M111" s="5"/>
      <c r="N111" s="1"/>
      <c r="O111" s="1"/>
      <c r="P111" s="1"/>
      <c r="Q111" s="1"/>
    </row>
    <row r="112" spans="1:17" x14ac:dyDescent="0.35">
      <c r="A112" s="7" t="str">
        <f>IF(Registro_Contenedores!A112="","",Registro_Contenedores!A112)</f>
        <v/>
      </c>
      <c r="B112" s="7" t="str">
        <f>IF($A112="","",Registro_Contenedores!B112)</f>
        <v/>
      </c>
      <c r="C112" s="7" t="str">
        <f>IF($A112="","",Registro_Contenedores!E112)</f>
        <v/>
      </c>
      <c r="D112" s="7" t="str">
        <f>IF($A112="","",Registro_Contenedores!H112)</f>
        <v/>
      </c>
      <c r="E112" s="7" t="str">
        <f>IF($A112="","",Registro_Contenedores!J112)</f>
        <v/>
      </c>
      <c r="F112" s="7" t="str">
        <f>IF($A112="","",Planif_Grupasa!G112)</f>
        <v/>
      </c>
      <c r="G112" s="7" t="str">
        <f>IF($A112="","",Planif_Grupasa!I112)</f>
        <v/>
      </c>
      <c r="H112" s="7" t="str">
        <f>IF($A112="","",Planif_Galagans!I112)</f>
        <v/>
      </c>
      <c r="I112" s="7" t="str">
        <f>IF($A112="","",Registro_Contenedores!K112)</f>
        <v/>
      </c>
      <c r="J112" s="5"/>
      <c r="K112" s="5"/>
      <c r="L112" s="5"/>
      <c r="M112" s="5"/>
      <c r="N112" s="1"/>
      <c r="O112" s="1"/>
      <c r="P112" s="1"/>
      <c r="Q112" s="1"/>
    </row>
    <row r="113" spans="1:17" x14ac:dyDescent="0.35">
      <c r="A113" s="7" t="str">
        <f>IF(Registro_Contenedores!A113="","",Registro_Contenedores!A113)</f>
        <v/>
      </c>
      <c r="B113" s="7" t="str">
        <f>IF($A113="","",Registro_Contenedores!B113)</f>
        <v/>
      </c>
      <c r="C113" s="7" t="str">
        <f>IF($A113="","",Registro_Contenedores!E113)</f>
        <v/>
      </c>
      <c r="D113" s="7" t="str">
        <f>IF($A113="","",Registro_Contenedores!H113)</f>
        <v/>
      </c>
      <c r="E113" s="7" t="str">
        <f>IF($A113="","",Registro_Contenedores!J113)</f>
        <v/>
      </c>
      <c r="F113" s="7" t="str">
        <f>IF($A113="","",Planif_Grupasa!G113)</f>
        <v/>
      </c>
      <c r="G113" s="7" t="str">
        <f>IF($A113="","",Planif_Grupasa!I113)</f>
        <v/>
      </c>
      <c r="H113" s="7" t="str">
        <f>IF($A113="","",Planif_Galagans!I113)</f>
        <v/>
      </c>
      <c r="I113" s="7" t="str">
        <f>IF($A113="","",Registro_Contenedores!K113)</f>
        <v/>
      </c>
      <c r="J113" s="5"/>
      <c r="K113" s="5"/>
      <c r="L113" s="5"/>
      <c r="M113" s="5"/>
      <c r="N113" s="1"/>
      <c r="O113" s="1"/>
      <c r="P113" s="1"/>
      <c r="Q113" s="1"/>
    </row>
    <row r="114" spans="1:17" x14ac:dyDescent="0.35">
      <c r="A114" s="7" t="str">
        <f>IF(Registro_Contenedores!A114="","",Registro_Contenedores!A114)</f>
        <v/>
      </c>
      <c r="B114" s="7" t="str">
        <f>IF($A114="","",Registro_Contenedores!B114)</f>
        <v/>
      </c>
      <c r="C114" s="7" t="str">
        <f>IF($A114="","",Registro_Contenedores!E114)</f>
        <v/>
      </c>
      <c r="D114" s="7" t="str">
        <f>IF($A114="","",Registro_Contenedores!H114)</f>
        <v/>
      </c>
      <c r="E114" s="7" t="str">
        <f>IF($A114="","",Registro_Contenedores!J114)</f>
        <v/>
      </c>
      <c r="F114" s="7" t="str">
        <f>IF($A114="","",Planif_Grupasa!G114)</f>
        <v/>
      </c>
      <c r="G114" s="7" t="str">
        <f>IF($A114="","",Planif_Grupasa!I114)</f>
        <v/>
      </c>
      <c r="H114" s="7" t="str">
        <f>IF($A114="","",Planif_Galagans!I114)</f>
        <v/>
      </c>
      <c r="I114" s="7" t="str">
        <f>IF($A114="","",Registro_Contenedores!K114)</f>
        <v/>
      </c>
      <c r="J114" s="5"/>
      <c r="K114" s="5"/>
      <c r="L114" s="5"/>
      <c r="M114" s="5"/>
      <c r="N114" s="1"/>
      <c r="O114" s="1"/>
      <c r="P114" s="1"/>
      <c r="Q114" s="1"/>
    </row>
    <row r="115" spans="1:17" x14ac:dyDescent="0.35">
      <c r="A115" s="7" t="str">
        <f>IF(Registro_Contenedores!A115="","",Registro_Contenedores!A115)</f>
        <v/>
      </c>
      <c r="B115" s="7" t="str">
        <f>IF($A115="","",Registro_Contenedores!B115)</f>
        <v/>
      </c>
      <c r="C115" s="7" t="str">
        <f>IF($A115="","",Registro_Contenedores!E115)</f>
        <v/>
      </c>
      <c r="D115" s="7" t="str">
        <f>IF($A115="","",Registro_Contenedores!H115)</f>
        <v/>
      </c>
      <c r="E115" s="7" t="str">
        <f>IF($A115="","",Registro_Contenedores!J115)</f>
        <v/>
      </c>
      <c r="F115" s="7" t="str">
        <f>IF($A115="","",Planif_Grupasa!G115)</f>
        <v/>
      </c>
      <c r="G115" s="7" t="str">
        <f>IF($A115="","",Planif_Grupasa!I115)</f>
        <v/>
      </c>
      <c r="H115" s="7" t="str">
        <f>IF($A115="","",Planif_Galagans!I115)</f>
        <v/>
      </c>
      <c r="I115" s="7" t="str">
        <f>IF($A115="","",Registro_Contenedores!K115)</f>
        <v/>
      </c>
      <c r="J115" s="5"/>
      <c r="K115" s="5"/>
      <c r="L115" s="5"/>
      <c r="M115" s="5"/>
      <c r="N115" s="1"/>
      <c r="O115" s="1"/>
      <c r="P115" s="1"/>
      <c r="Q115" s="1"/>
    </row>
    <row r="116" spans="1:17" x14ac:dyDescent="0.35">
      <c r="A116" s="7" t="str">
        <f>IF(Registro_Contenedores!A116="","",Registro_Contenedores!A116)</f>
        <v/>
      </c>
      <c r="B116" s="7" t="str">
        <f>IF($A116="","",Registro_Contenedores!B116)</f>
        <v/>
      </c>
      <c r="C116" s="7" t="str">
        <f>IF($A116="","",Registro_Contenedores!E116)</f>
        <v/>
      </c>
      <c r="D116" s="7" t="str">
        <f>IF($A116="","",Registro_Contenedores!H116)</f>
        <v/>
      </c>
      <c r="E116" s="7" t="str">
        <f>IF($A116="","",Registro_Contenedores!J116)</f>
        <v/>
      </c>
      <c r="F116" s="7" t="str">
        <f>IF($A116="","",Planif_Grupasa!G116)</f>
        <v/>
      </c>
      <c r="G116" s="7" t="str">
        <f>IF($A116="","",Planif_Grupasa!I116)</f>
        <v/>
      </c>
      <c r="H116" s="7" t="str">
        <f>IF($A116="","",Planif_Galagans!I116)</f>
        <v/>
      </c>
      <c r="I116" s="7" t="str">
        <f>IF($A116="","",Registro_Contenedores!K116)</f>
        <v/>
      </c>
      <c r="J116" s="5"/>
      <c r="K116" s="5"/>
      <c r="L116" s="5"/>
      <c r="M116" s="5"/>
      <c r="N116" s="1"/>
      <c r="O116" s="1"/>
      <c r="P116" s="1"/>
      <c r="Q116" s="1"/>
    </row>
    <row r="117" spans="1:17" x14ac:dyDescent="0.35">
      <c r="A117" s="7" t="str">
        <f>IF(Registro_Contenedores!A117="","",Registro_Contenedores!A117)</f>
        <v/>
      </c>
      <c r="B117" s="7" t="str">
        <f>IF($A117="","",Registro_Contenedores!B117)</f>
        <v/>
      </c>
      <c r="C117" s="7" t="str">
        <f>IF($A117="","",Registro_Contenedores!E117)</f>
        <v/>
      </c>
      <c r="D117" s="7" t="str">
        <f>IF($A117="","",Registro_Contenedores!H117)</f>
        <v/>
      </c>
      <c r="E117" s="7" t="str">
        <f>IF($A117="","",Registro_Contenedores!J117)</f>
        <v/>
      </c>
      <c r="F117" s="7" t="str">
        <f>IF($A117="","",Planif_Grupasa!G117)</f>
        <v/>
      </c>
      <c r="G117" s="7" t="str">
        <f>IF($A117="","",Planif_Grupasa!I117)</f>
        <v/>
      </c>
      <c r="H117" s="7" t="str">
        <f>IF($A117="","",Planif_Galagans!I117)</f>
        <v/>
      </c>
      <c r="I117" s="7" t="str">
        <f>IF($A117="","",Registro_Contenedores!K117)</f>
        <v/>
      </c>
      <c r="J117" s="5"/>
      <c r="K117" s="5"/>
      <c r="L117" s="5"/>
      <c r="M117" s="5"/>
      <c r="N117" s="1"/>
      <c r="O117" s="1"/>
      <c r="P117" s="1"/>
      <c r="Q117" s="1"/>
    </row>
    <row r="118" spans="1:17" x14ac:dyDescent="0.35">
      <c r="A118" s="7" t="str">
        <f>IF(Registro_Contenedores!A118="","",Registro_Contenedores!A118)</f>
        <v/>
      </c>
      <c r="B118" s="7" t="str">
        <f>IF($A118="","",Registro_Contenedores!B118)</f>
        <v/>
      </c>
      <c r="C118" s="7" t="str">
        <f>IF($A118="","",Registro_Contenedores!E118)</f>
        <v/>
      </c>
      <c r="D118" s="7" t="str">
        <f>IF($A118="","",Registro_Contenedores!H118)</f>
        <v/>
      </c>
      <c r="E118" s="7" t="str">
        <f>IF($A118="","",Registro_Contenedores!J118)</f>
        <v/>
      </c>
      <c r="F118" s="7" t="str">
        <f>IF($A118="","",Planif_Grupasa!G118)</f>
        <v/>
      </c>
      <c r="G118" s="7" t="str">
        <f>IF($A118="","",Planif_Grupasa!I118)</f>
        <v/>
      </c>
      <c r="H118" s="7" t="str">
        <f>IF($A118="","",Planif_Galagans!I118)</f>
        <v/>
      </c>
      <c r="I118" s="7" t="str">
        <f>IF($A118="","",Registro_Contenedores!K118)</f>
        <v/>
      </c>
      <c r="J118" s="5"/>
      <c r="K118" s="5"/>
      <c r="L118" s="5"/>
      <c r="M118" s="5"/>
      <c r="N118" s="1"/>
      <c r="O118" s="1"/>
      <c r="P118" s="1"/>
      <c r="Q118" s="1"/>
    </row>
    <row r="119" spans="1:17" x14ac:dyDescent="0.35">
      <c r="A119" s="7" t="str">
        <f>IF(Registro_Contenedores!A119="","",Registro_Contenedores!A119)</f>
        <v/>
      </c>
      <c r="B119" s="7" t="str">
        <f>IF($A119="","",Registro_Contenedores!B119)</f>
        <v/>
      </c>
      <c r="C119" s="7" t="str">
        <f>IF($A119="","",Registro_Contenedores!E119)</f>
        <v/>
      </c>
      <c r="D119" s="7" t="str">
        <f>IF($A119="","",Registro_Contenedores!H119)</f>
        <v/>
      </c>
      <c r="E119" s="7" t="str">
        <f>IF($A119="","",Registro_Contenedores!J119)</f>
        <v/>
      </c>
      <c r="F119" s="7" t="str">
        <f>IF($A119="","",Planif_Grupasa!G119)</f>
        <v/>
      </c>
      <c r="G119" s="7" t="str">
        <f>IF($A119="","",Planif_Grupasa!I119)</f>
        <v/>
      </c>
      <c r="H119" s="7" t="str">
        <f>IF($A119="","",Planif_Galagans!I119)</f>
        <v/>
      </c>
      <c r="I119" s="7" t="str">
        <f>IF($A119="","",Registro_Contenedores!K119)</f>
        <v/>
      </c>
      <c r="J119" s="5"/>
      <c r="K119" s="5"/>
      <c r="L119" s="5"/>
      <c r="M119" s="5"/>
      <c r="N119" s="1"/>
      <c r="O119" s="1"/>
      <c r="P119" s="1"/>
      <c r="Q119" s="1"/>
    </row>
    <row r="120" spans="1:17" x14ac:dyDescent="0.35">
      <c r="A120" s="7" t="str">
        <f>IF(Registro_Contenedores!A120="","",Registro_Contenedores!A120)</f>
        <v/>
      </c>
      <c r="B120" s="7" t="str">
        <f>IF($A120="","",Registro_Contenedores!B120)</f>
        <v/>
      </c>
      <c r="C120" s="7" t="str">
        <f>IF($A120="","",Registro_Contenedores!E120)</f>
        <v/>
      </c>
      <c r="D120" s="7" t="str">
        <f>IF($A120="","",Registro_Contenedores!H120)</f>
        <v/>
      </c>
      <c r="E120" s="7" t="str">
        <f>IF($A120="","",Registro_Contenedores!J120)</f>
        <v/>
      </c>
      <c r="F120" s="7" t="str">
        <f>IF($A120="","",Planif_Grupasa!G120)</f>
        <v/>
      </c>
      <c r="G120" s="7" t="str">
        <f>IF($A120="","",Planif_Grupasa!I120)</f>
        <v/>
      </c>
      <c r="H120" s="7" t="str">
        <f>IF($A120="","",Planif_Galagans!I120)</f>
        <v/>
      </c>
      <c r="I120" s="7" t="str">
        <f>IF($A120="","",Registro_Contenedores!K120)</f>
        <v/>
      </c>
      <c r="J120" s="5"/>
      <c r="K120" s="5"/>
      <c r="L120" s="5"/>
      <c r="M120" s="5"/>
      <c r="N120" s="1"/>
      <c r="O120" s="1"/>
      <c r="P120" s="1"/>
      <c r="Q120" s="1"/>
    </row>
    <row r="121" spans="1:17" x14ac:dyDescent="0.35">
      <c r="A121" s="7" t="str">
        <f>IF(Registro_Contenedores!A121="","",Registro_Contenedores!A121)</f>
        <v/>
      </c>
      <c r="B121" s="7" t="str">
        <f>IF($A121="","",Registro_Contenedores!B121)</f>
        <v/>
      </c>
      <c r="C121" s="7" t="str">
        <f>IF($A121="","",Registro_Contenedores!E121)</f>
        <v/>
      </c>
      <c r="D121" s="7" t="str">
        <f>IF($A121="","",Registro_Contenedores!H121)</f>
        <v/>
      </c>
      <c r="E121" s="7" t="str">
        <f>IF($A121="","",Registro_Contenedores!J121)</f>
        <v/>
      </c>
      <c r="F121" s="7" t="str">
        <f>IF($A121="","",Planif_Grupasa!G121)</f>
        <v/>
      </c>
      <c r="G121" s="7" t="str">
        <f>IF($A121="","",Planif_Grupasa!I121)</f>
        <v/>
      </c>
      <c r="H121" s="7" t="str">
        <f>IF($A121="","",Planif_Galagans!I121)</f>
        <v/>
      </c>
      <c r="I121" s="7" t="str">
        <f>IF($A121="","",Registro_Contenedores!K121)</f>
        <v/>
      </c>
      <c r="J121" s="5"/>
      <c r="K121" s="5"/>
      <c r="L121" s="5"/>
      <c r="M121" s="5"/>
      <c r="N121" s="1"/>
      <c r="O121" s="1"/>
      <c r="P121" s="1"/>
      <c r="Q121" s="1"/>
    </row>
    <row r="122" spans="1:17" x14ac:dyDescent="0.35">
      <c r="A122" s="7" t="str">
        <f>IF(Registro_Contenedores!A122="","",Registro_Contenedores!A122)</f>
        <v/>
      </c>
      <c r="B122" s="7" t="str">
        <f>IF($A122="","",Registro_Contenedores!B122)</f>
        <v/>
      </c>
      <c r="C122" s="7" t="str">
        <f>IF($A122="","",Registro_Contenedores!E122)</f>
        <v/>
      </c>
      <c r="D122" s="7" t="str">
        <f>IF($A122="","",Registro_Contenedores!H122)</f>
        <v/>
      </c>
      <c r="E122" s="7" t="str">
        <f>IF($A122="","",Registro_Contenedores!J122)</f>
        <v/>
      </c>
      <c r="F122" s="7" t="str">
        <f>IF($A122="","",Planif_Grupasa!G122)</f>
        <v/>
      </c>
      <c r="G122" s="7" t="str">
        <f>IF($A122="","",Planif_Grupasa!I122)</f>
        <v/>
      </c>
      <c r="H122" s="7" t="str">
        <f>IF($A122="","",Planif_Galagans!I122)</f>
        <v/>
      </c>
      <c r="I122" s="7" t="str">
        <f>IF($A122="","",Registro_Contenedores!K122)</f>
        <v/>
      </c>
      <c r="J122" s="5"/>
      <c r="K122" s="5"/>
      <c r="L122" s="5"/>
      <c r="M122" s="5"/>
      <c r="N122" s="1"/>
      <c r="O122" s="1"/>
      <c r="P122" s="1"/>
      <c r="Q122" s="1"/>
    </row>
    <row r="123" spans="1:17" x14ac:dyDescent="0.35">
      <c r="A123" s="7" t="str">
        <f>IF(Registro_Contenedores!A123="","",Registro_Contenedores!A123)</f>
        <v/>
      </c>
      <c r="B123" s="7" t="str">
        <f>IF($A123="","",Registro_Contenedores!B123)</f>
        <v/>
      </c>
      <c r="C123" s="7" t="str">
        <f>IF($A123="","",Registro_Contenedores!E123)</f>
        <v/>
      </c>
      <c r="D123" s="7" t="str">
        <f>IF($A123="","",Registro_Contenedores!H123)</f>
        <v/>
      </c>
      <c r="E123" s="7" t="str">
        <f>IF($A123="","",Registro_Contenedores!J123)</f>
        <v/>
      </c>
      <c r="F123" s="7" t="str">
        <f>IF($A123="","",Planif_Grupasa!G123)</f>
        <v/>
      </c>
      <c r="G123" s="7" t="str">
        <f>IF($A123="","",Planif_Grupasa!I123)</f>
        <v/>
      </c>
      <c r="H123" s="7" t="str">
        <f>IF($A123="","",Planif_Galagans!I123)</f>
        <v/>
      </c>
      <c r="I123" s="7" t="str">
        <f>IF($A123="","",Registro_Contenedores!K123)</f>
        <v/>
      </c>
      <c r="J123" s="5"/>
      <c r="K123" s="5"/>
      <c r="L123" s="5"/>
      <c r="M123" s="5"/>
      <c r="N123" s="1"/>
      <c r="O123" s="1"/>
      <c r="P123" s="1"/>
      <c r="Q123" s="1"/>
    </row>
    <row r="124" spans="1:17" x14ac:dyDescent="0.35">
      <c r="A124" s="7" t="str">
        <f>IF(Registro_Contenedores!A124="","",Registro_Contenedores!A124)</f>
        <v/>
      </c>
      <c r="B124" s="7" t="str">
        <f>IF($A124="","",Registro_Contenedores!B124)</f>
        <v/>
      </c>
      <c r="C124" s="7" t="str">
        <f>IF($A124="","",Registro_Contenedores!E124)</f>
        <v/>
      </c>
      <c r="D124" s="7" t="str">
        <f>IF($A124="","",Registro_Contenedores!H124)</f>
        <v/>
      </c>
      <c r="E124" s="7" t="str">
        <f>IF($A124="","",Registro_Contenedores!J124)</f>
        <v/>
      </c>
      <c r="F124" s="7" t="str">
        <f>IF($A124="","",Planif_Grupasa!G124)</f>
        <v/>
      </c>
      <c r="G124" s="7" t="str">
        <f>IF($A124="","",Planif_Grupasa!I124)</f>
        <v/>
      </c>
      <c r="H124" s="7" t="str">
        <f>IF($A124="","",Planif_Galagans!I124)</f>
        <v/>
      </c>
      <c r="I124" s="7" t="str">
        <f>IF($A124="","",Registro_Contenedores!K124)</f>
        <v/>
      </c>
      <c r="J124" s="5"/>
      <c r="K124" s="5"/>
      <c r="L124" s="5"/>
      <c r="M124" s="5"/>
      <c r="N124" s="1"/>
      <c r="O124" s="1"/>
      <c r="P124" s="1"/>
      <c r="Q124" s="1"/>
    </row>
    <row r="125" spans="1:17" x14ac:dyDescent="0.35">
      <c r="A125" s="7" t="str">
        <f>IF(Registro_Contenedores!A125="","",Registro_Contenedores!A125)</f>
        <v/>
      </c>
      <c r="B125" s="7" t="str">
        <f>IF($A125="","",Registro_Contenedores!B125)</f>
        <v/>
      </c>
      <c r="C125" s="7" t="str">
        <f>IF($A125="","",Registro_Contenedores!E125)</f>
        <v/>
      </c>
      <c r="D125" s="7" t="str">
        <f>IF($A125="","",Registro_Contenedores!H125)</f>
        <v/>
      </c>
      <c r="E125" s="7" t="str">
        <f>IF($A125="","",Registro_Contenedores!J125)</f>
        <v/>
      </c>
      <c r="F125" s="7" t="str">
        <f>IF($A125="","",Planif_Grupasa!G125)</f>
        <v/>
      </c>
      <c r="G125" s="7" t="str">
        <f>IF($A125="","",Planif_Grupasa!I125)</f>
        <v/>
      </c>
      <c r="H125" s="7" t="str">
        <f>IF($A125="","",Planif_Galagans!I125)</f>
        <v/>
      </c>
      <c r="I125" s="7" t="str">
        <f>IF($A125="","",Registro_Contenedores!K125)</f>
        <v/>
      </c>
      <c r="J125" s="5"/>
      <c r="K125" s="5"/>
      <c r="L125" s="5"/>
      <c r="M125" s="5"/>
      <c r="N125" s="1"/>
      <c r="O125" s="1"/>
      <c r="P125" s="1"/>
      <c r="Q125" s="1"/>
    </row>
    <row r="126" spans="1:17" x14ac:dyDescent="0.35">
      <c r="A126" s="7" t="str">
        <f>IF(Registro_Contenedores!A126="","",Registro_Contenedores!A126)</f>
        <v/>
      </c>
      <c r="B126" s="7" t="str">
        <f>IF($A126="","",Registro_Contenedores!B126)</f>
        <v/>
      </c>
      <c r="C126" s="7" t="str">
        <f>IF($A126="","",Registro_Contenedores!E126)</f>
        <v/>
      </c>
      <c r="D126" s="7" t="str">
        <f>IF($A126="","",Registro_Contenedores!H126)</f>
        <v/>
      </c>
      <c r="E126" s="7" t="str">
        <f>IF($A126="","",Registro_Contenedores!J126)</f>
        <v/>
      </c>
      <c r="F126" s="7" t="str">
        <f>IF($A126="","",Planif_Grupasa!G126)</f>
        <v/>
      </c>
      <c r="G126" s="7" t="str">
        <f>IF($A126="","",Planif_Grupasa!I126)</f>
        <v/>
      </c>
      <c r="H126" s="7" t="str">
        <f>IF($A126="","",Planif_Galagans!I126)</f>
        <v/>
      </c>
      <c r="I126" s="7" t="str">
        <f>IF($A126="","",Registro_Contenedores!K126)</f>
        <v/>
      </c>
      <c r="J126" s="5"/>
      <c r="K126" s="5"/>
      <c r="L126" s="5"/>
      <c r="M126" s="5"/>
      <c r="N126" s="1"/>
      <c r="O126" s="1"/>
      <c r="P126" s="1"/>
      <c r="Q126" s="1"/>
    </row>
    <row r="127" spans="1:17" x14ac:dyDescent="0.35">
      <c r="A127" s="7" t="str">
        <f>IF(Registro_Contenedores!A127="","",Registro_Contenedores!A127)</f>
        <v/>
      </c>
      <c r="B127" s="7" t="str">
        <f>IF($A127="","",Registro_Contenedores!B127)</f>
        <v/>
      </c>
      <c r="C127" s="7" t="str">
        <f>IF($A127="","",Registro_Contenedores!E127)</f>
        <v/>
      </c>
      <c r="D127" s="7" t="str">
        <f>IF($A127="","",Registro_Contenedores!H127)</f>
        <v/>
      </c>
      <c r="E127" s="7" t="str">
        <f>IF($A127="","",Registro_Contenedores!J127)</f>
        <v/>
      </c>
      <c r="F127" s="7" t="str">
        <f>IF($A127="","",Planif_Grupasa!G127)</f>
        <v/>
      </c>
      <c r="G127" s="7" t="str">
        <f>IF($A127="","",Planif_Grupasa!I127)</f>
        <v/>
      </c>
      <c r="H127" s="7" t="str">
        <f>IF($A127="","",Planif_Galagans!I127)</f>
        <v/>
      </c>
      <c r="I127" s="7" t="str">
        <f>IF($A127="","",Registro_Contenedores!K127)</f>
        <v/>
      </c>
      <c r="J127" s="5"/>
      <c r="K127" s="5"/>
      <c r="L127" s="5"/>
      <c r="M127" s="5"/>
      <c r="N127" s="1"/>
      <c r="O127" s="1"/>
      <c r="P127" s="1"/>
      <c r="Q127" s="1"/>
    </row>
    <row r="128" spans="1:17" x14ac:dyDescent="0.35">
      <c r="A128" s="7" t="str">
        <f>IF(Registro_Contenedores!A128="","",Registro_Contenedores!A128)</f>
        <v/>
      </c>
      <c r="B128" s="7" t="str">
        <f>IF($A128="","",Registro_Contenedores!B128)</f>
        <v/>
      </c>
      <c r="C128" s="7" t="str">
        <f>IF($A128="","",Registro_Contenedores!E128)</f>
        <v/>
      </c>
      <c r="D128" s="7" t="str">
        <f>IF($A128="","",Registro_Contenedores!H128)</f>
        <v/>
      </c>
      <c r="E128" s="7" t="str">
        <f>IF($A128="","",Registro_Contenedores!J128)</f>
        <v/>
      </c>
      <c r="F128" s="7" t="str">
        <f>IF($A128="","",Planif_Grupasa!G128)</f>
        <v/>
      </c>
      <c r="G128" s="7" t="str">
        <f>IF($A128="","",Planif_Grupasa!I128)</f>
        <v/>
      </c>
      <c r="H128" s="7" t="str">
        <f>IF($A128="","",Planif_Galagans!I128)</f>
        <v/>
      </c>
      <c r="I128" s="7" t="str">
        <f>IF($A128="","",Registro_Contenedores!K128)</f>
        <v/>
      </c>
      <c r="J128" s="5"/>
      <c r="K128" s="5"/>
      <c r="L128" s="5"/>
      <c r="M128" s="5"/>
      <c r="N128" s="1"/>
      <c r="O128" s="1"/>
      <c r="P128" s="1"/>
      <c r="Q128" s="1"/>
    </row>
    <row r="129" spans="1:17" x14ac:dyDescent="0.35">
      <c r="A129" s="7" t="str">
        <f>IF(Registro_Contenedores!A129="","",Registro_Contenedores!A129)</f>
        <v/>
      </c>
      <c r="B129" s="7" t="str">
        <f>IF($A129="","",Registro_Contenedores!B129)</f>
        <v/>
      </c>
      <c r="C129" s="7" t="str">
        <f>IF($A129="","",Registro_Contenedores!E129)</f>
        <v/>
      </c>
      <c r="D129" s="7" t="str">
        <f>IF($A129="","",Registro_Contenedores!H129)</f>
        <v/>
      </c>
      <c r="E129" s="7" t="str">
        <f>IF($A129="","",Registro_Contenedores!J129)</f>
        <v/>
      </c>
      <c r="F129" s="7" t="str">
        <f>IF($A129="","",Planif_Grupasa!G129)</f>
        <v/>
      </c>
      <c r="G129" s="7" t="str">
        <f>IF($A129="","",Planif_Grupasa!I129)</f>
        <v/>
      </c>
      <c r="H129" s="7" t="str">
        <f>IF($A129="","",Planif_Galagans!I129)</f>
        <v/>
      </c>
      <c r="I129" s="7" t="str">
        <f>IF($A129="","",Registro_Contenedores!K129)</f>
        <v/>
      </c>
      <c r="J129" s="5"/>
      <c r="K129" s="5"/>
      <c r="L129" s="5"/>
      <c r="M129" s="5"/>
      <c r="N129" s="1"/>
      <c r="O129" s="1"/>
      <c r="P129" s="1"/>
      <c r="Q129" s="1"/>
    </row>
    <row r="130" spans="1:17" x14ac:dyDescent="0.35">
      <c r="A130" s="7" t="str">
        <f>IF(Registro_Contenedores!A130="","",Registro_Contenedores!A130)</f>
        <v/>
      </c>
      <c r="B130" s="7" t="str">
        <f>IF($A130="","",Registro_Contenedores!B130)</f>
        <v/>
      </c>
      <c r="C130" s="7" t="str">
        <f>IF($A130="","",Registro_Contenedores!E130)</f>
        <v/>
      </c>
      <c r="D130" s="7" t="str">
        <f>IF($A130="","",Registro_Contenedores!H130)</f>
        <v/>
      </c>
      <c r="E130" s="7" t="str">
        <f>IF($A130="","",Registro_Contenedores!J130)</f>
        <v/>
      </c>
      <c r="F130" s="7" t="str">
        <f>IF($A130="","",Planif_Grupasa!G130)</f>
        <v/>
      </c>
      <c r="G130" s="7" t="str">
        <f>IF($A130="","",Planif_Grupasa!I130)</f>
        <v/>
      </c>
      <c r="H130" s="7" t="str">
        <f>IF($A130="","",Planif_Galagans!I130)</f>
        <v/>
      </c>
      <c r="I130" s="7" t="str">
        <f>IF($A130="","",Registro_Contenedores!K130)</f>
        <v/>
      </c>
      <c r="J130" s="5"/>
      <c r="K130" s="5"/>
      <c r="L130" s="5"/>
      <c r="M130" s="5"/>
      <c r="N130" s="1"/>
      <c r="O130" s="1"/>
      <c r="P130" s="1"/>
      <c r="Q130" s="1"/>
    </row>
    <row r="131" spans="1:17" x14ac:dyDescent="0.35">
      <c r="A131" s="7" t="str">
        <f>IF(Registro_Contenedores!A131="","",Registro_Contenedores!A131)</f>
        <v/>
      </c>
      <c r="B131" s="7" t="str">
        <f>IF($A131="","",Registro_Contenedores!B131)</f>
        <v/>
      </c>
      <c r="C131" s="7" t="str">
        <f>IF($A131="","",Registro_Contenedores!E131)</f>
        <v/>
      </c>
      <c r="D131" s="7" t="str">
        <f>IF($A131="","",Registro_Contenedores!H131)</f>
        <v/>
      </c>
      <c r="E131" s="7" t="str">
        <f>IF($A131="","",Registro_Contenedores!J131)</f>
        <v/>
      </c>
      <c r="F131" s="7" t="str">
        <f>IF($A131="","",Planif_Grupasa!G131)</f>
        <v/>
      </c>
      <c r="G131" s="7" t="str">
        <f>IF($A131="","",Planif_Grupasa!I131)</f>
        <v/>
      </c>
      <c r="H131" s="7" t="str">
        <f>IF($A131="","",Planif_Galagans!I131)</f>
        <v/>
      </c>
      <c r="I131" s="7" t="str">
        <f>IF($A131="","",Registro_Contenedores!K131)</f>
        <v/>
      </c>
      <c r="J131" s="5"/>
      <c r="K131" s="5"/>
      <c r="L131" s="5"/>
      <c r="M131" s="5"/>
      <c r="N131" s="1"/>
      <c r="O131" s="1"/>
      <c r="P131" s="1"/>
      <c r="Q131" s="1"/>
    </row>
    <row r="132" spans="1:17" x14ac:dyDescent="0.35">
      <c r="A132" s="7" t="str">
        <f>IF(Registro_Contenedores!A132="","",Registro_Contenedores!A132)</f>
        <v/>
      </c>
      <c r="B132" s="7" t="str">
        <f>IF($A132="","",Registro_Contenedores!B132)</f>
        <v/>
      </c>
      <c r="C132" s="7" t="str">
        <f>IF($A132="","",Registro_Contenedores!E132)</f>
        <v/>
      </c>
      <c r="D132" s="7" t="str">
        <f>IF($A132="","",Registro_Contenedores!H132)</f>
        <v/>
      </c>
      <c r="E132" s="7" t="str">
        <f>IF($A132="","",Registro_Contenedores!J132)</f>
        <v/>
      </c>
      <c r="F132" s="7" t="str">
        <f>IF($A132="","",Planif_Grupasa!G132)</f>
        <v/>
      </c>
      <c r="G132" s="7" t="str">
        <f>IF($A132="","",Planif_Grupasa!I132)</f>
        <v/>
      </c>
      <c r="H132" s="7" t="str">
        <f>IF($A132="","",Planif_Galagans!I132)</f>
        <v/>
      </c>
      <c r="I132" s="7" t="str">
        <f>IF($A132="","",Registro_Contenedores!K132)</f>
        <v/>
      </c>
      <c r="J132" s="5"/>
      <c r="K132" s="5"/>
      <c r="L132" s="5"/>
      <c r="M132" s="5"/>
      <c r="N132" s="1"/>
      <c r="O132" s="1"/>
      <c r="P132" s="1"/>
      <c r="Q132" s="1"/>
    </row>
    <row r="133" spans="1:17" x14ac:dyDescent="0.35">
      <c r="A133" s="7" t="str">
        <f>IF(Registro_Contenedores!A133="","",Registro_Contenedores!A133)</f>
        <v/>
      </c>
      <c r="B133" s="7" t="str">
        <f>IF($A133="","",Registro_Contenedores!B133)</f>
        <v/>
      </c>
      <c r="C133" s="7" t="str">
        <f>IF($A133="","",Registro_Contenedores!E133)</f>
        <v/>
      </c>
      <c r="D133" s="7" t="str">
        <f>IF($A133="","",Registro_Contenedores!H133)</f>
        <v/>
      </c>
      <c r="E133" s="7" t="str">
        <f>IF($A133="","",Registro_Contenedores!J133)</f>
        <v/>
      </c>
      <c r="F133" s="7" t="str">
        <f>IF($A133="","",Planif_Grupasa!G133)</f>
        <v/>
      </c>
      <c r="G133" s="7" t="str">
        <f>IF($A133="","",Planif_Grupasa!I133)</f>
        <v/>
      </c>
      <c r="H133" s="7" t="str">
        <f>IF($A133="","",Planif_Galagans!I133)</f>
        <v/>
      </c>
      <c r="I133" s="7" t="str">
        <f>IF($A133="","",Registro_Contenedores!K133)</f>
        <v/>
      </c>
      <c r="J133" s="5"/>
      <c r="K133" s="5"/>
      <c r="L133" s="5"/>
      <c r="M133" s="5"/>
      <c r="N133" s="1"/>
      <c r="O133" s="1"/>
      <c r="P133" s="1"/>
      <c r="Q133" s="1"/>
    </row>
    <row r="134" spans="1:17" x14ac:dyDescent="0.35">
      <c r="A134" s="7" t="str">
        <f>IF(Registro_Contenedores!A134="","",Registro_Contenedores!A134)</f>
        <v/>
      </c>
      <c r="B134" s="7" t="str">
        <f>IF($A134="","",Registro_Contenedores!B134)</f>
        <v/>
      </c>
      <c r="C134" s="7" t="str">
        <f>IF($A134="","",Registro_Contenedores!E134)</f>
        <v/>
      </c>
      <c r="D134" s="7" t="str">
        <f>IF($A134="","",Registro_Contenedores!H134)</f>
        <v/>
      </c>
      <c r="E134" s="7" t="str">
        <f>IF($A134="","",Registro_Contenedores!J134)</f>
        <v/>
      </c>
      <c r="F134" s="7" t="str">
        <f>IF($A134="","",Planif_Grupasa!G134)</f>
        <v/>
      </c>
      <c r="G134" s="7" t="str">
        <f>IF($A134="","",Planif_Grupasa!I134)</f>
        <v/>
      </c>
      <c r="H134" s="7" t="str">
        <f>IF($A134="","",Planif_Galagans!I134)</f>
        <v/>
      </c>
      <c r="I134" s="7" t="str">
        <f>IF($A134="","",Registro_Contenedores!K134)</f>
        <v/>
      </c>
      <c r="J134" s="5"/>
      <c r="K134" s="5"/>
      <c r="L134" s="5"/>
      <c r="M134" s="5"/>
      <c r="N134" s="1"/>
      <c r="O134" s="1"/>
      <c r="P134" s="1"/>
      <c r="Q134" s="1"/>
    </row>
    <row r="135" spans="1:17" x14ac:dyDescent="0.35">
      <c r="A135" s="7" t="str">
        <f>IF(Registro_Contenedores!A135="","",Registro_Contenedores!A135)</f>
        <v/>
      </c>
      <c r="B135" s="7" t="str">
        <f>IF($A135="","",Registro_Contenedores!B135)</f>
        <v/>
      </c>
      <c r="C135" s="7" t="str">
        <f>IF($A135="","",Registro_Contenedores!E135)</f>
        <v/>
      </c>
      <c r="D135" s="7" t="str">
        <f>IF($A135="","",Registro_Contenedores!H135)</f>
        <v/>
      </c>
      <c r="E135" s="7" t="str">
        <f>IF($A135="","",Registro_Contenedores!J135)</f>
        <v/>
      </c>
      <c r="F135" s="7" t="str">
        <f>IF($A135="","",Planif_Grupasa!G135)</f>
        <v/>
      </c>
      <c r="G135" s="7" t="str">
        <f>IF($A135="","",Planif_Grupasa!I135)</f>
        <v/>
      </c>
      <c r="H135" s="7" t="str">
        <f>IF($A135="","",Planif_Galagans!I135)</f>
        <v/>
      </c>
      <c r="I135" s="7" t="str">
        <f>IF($A135="","",Registro_Contenedores!K135)</f>
        <v/>
      </c>
      <c r="J135" s="5"/>
      <c r="K135" s="5"/>
      <c r="L135" s="5"/>
      <c r="M135" s="5"/>
      <c r="N135" s="1"/>
      <c r="O135" s="1"/>
      <c r="P135" s="1"/>
      <c r="Q135" s="1"/>
    </row>
    <row r="136" spans="1:17" x14ac:dyDescent="0.35">
      <c r="A136" s="7" t="str">
        <f>IF(Registro_Contenedores!A136="","",Registro_Contenedores!A136)</f>
        <v/>
      </c>
      <c r="B136" s="7" t="str">
        <f>IF($A136="","",Registro_Contenedores!B136)</f>
        <v/>
      </c>
      <c r="C136" s="7" t="str">
        <f>IF($A136="","",Registro_Contenedores!E136)</f>
        <v/>
      </c>
      <c r="D136" s="7" t="str">
        <f>IF($A136="","",Registro_Contenedores!H136)</f>
        <v/>
      </c>
      <c r="E136" s="7" t="str">
        <f>IF($A136="","",Registro_Contenedores!J136)</f>
        <v/>
      </c>
      <c r="F136" s="7" t="str">
        <f>IF($A136="","",Planif_Grupasa!G136)</f>
        <v/>
      </c>
      <c r="G136" s="7" t="str">
        <f>IF($A136="","",Planif_Grupasa!I136)</f>
        <v/>
      </c>
      <c r="H136" s="7" t="str">
        <f>IF($A136="","",Planif_Galagans!I136)</f>
        <v/>
      </c>
      <c r="I136" s="7" t="str">
        <f>IF($A136="","",Registro_Contenedores!K136)</f>
        <v/>
      </c>
      <c r="J136" s="5"/>
      <c r="K136" s="5"/>
      <c r="L136" s="5"/>
      <c r="M136" s="5"/>
      <c r="N136" s="1"/>
      <c r="O136" s="1"/>
      <c r="P136" s="1"/>
      <c r="Q136" s="1"/>
    </row>
    <row r="137" spans="1:17" x14ac:dyDescent="0.35">
      <c r="A137" s="7" t="str">
        <f>IF(Registro_Contenedores!A137="","",Registro_Contenedores!A137)</f>
        <v/>
      </c>
      <c r="B137" s="7" t="str">
        <f>IF($A137="","",Registro_Contenedores!B137)</f>
        <v/>
      </c>
      <c r="C137" s="7" t="str">
        <f>IF($A137="","",Registro_Contenedores!E137)</f>
        <v/>
      </c>
      <c r="D137" s="7" t="str">
        <f>IF($A137="","",Registro_Contenedores!H137)</f>
        <v/>
      </c>
      <c r="E137" s="7" t="str">
        <f>IF($A137="","",Registro_Contenedores!J137)</f>
        <v/>
      </c>
      <c r="F137" s="7" t="str">
        <f>IF($A137="","",Planif_Grupasa!G137)</f>
        <v/>
      </c>
      <c r="G137" s="7" t="str">
        <f>IF($A137="","",Planif_Grupasa!I137)</f>
        <v/>
      </c>
      <c r="H137" s="7" t="str">
        <f>IF($A137="","",Planif_Galagans!I137)</f>
        <v/>
      </c>
      <c r="I137" s="7" t="str">
        <f>IF($A137="","",Registro_Contenedores!K137)</f>
        <v/>
      </c>
      <c r="J137" s="5"/>
      <c r="K137" s="5"/>
      <c r="L137" s="5"/>
      <c r="M137" s="5"/>
      <c r="N137" s="1"/>
      <c r="O137" s="1"/>
      <c r="P137" s="1"/>
      <c r="Q137" s="1"/>
    </row>
    <row r="138" spans="1:17" x14ac:dyDescent="0.35">
      <c r="A138" s="7" t="str">
        <f>IF(Registro_Contenedores!A138="","",Registro_Contenedores!A138)</f>
        <v/>
      </c>
      <c r="B138" s="7" t="str">
        <f>IF($A138="","",Registro_Contenedores!B138)</f>
        <v/>
      </c>
      <c r="C138" s="7" t="str">
        <f>IF($A138="","",Registro_Contenedores!E138)</f>
        <v/>
      </c>
      <c r="D138" s="7" t="str">
        <f>IF($A138="","",Registro_Contenedores!H138)</f>
        <v/>
      </c>
      <c r="E138" s="7" t="str">
        <f>IF($A138="","",Registro_Contenedores!J138)</f>
        <v/>
      </c>
      <c r="F138" s="7" t="str">
        <f>IF($A138="","",Planif_Grupasa!G138)</f>
        <v/>
      </c>
      <c r="G138" s="7" t="str">
        <f>IF($A138="","",Planif_Grupasa!I138)</f>
        <v/>
      </c>
      <c r="H138" s="7" t="str">
        <f>IF($A138="","",Planif_Galagans!I138)</f>
        <v/>
      </c>
      <c r="I138" s="7" t="str">
        <f>IF($A138="","",Registro_Contenedores!K138)</f>
        <v/>
      </c>
      <c r="J138" s="5"/>
      <c r="K138" s="5"/>
      <c r="L138" s="5"/>
      <c r="M138" s="5"/>
      <c r="N138" s="1"/>
      <c r="O138" s="1"/>
      <c r="P138" s="1"/>
      <c r="Q138" s="1"/>
    </row>
    <row r="139" spans="1:17" x14ac:dyDescent="0.35">
      <c r="A139" s="7" t="str">
        <f>IF(Registro_Contenedores!A139="","",Registro_Contenedores!A139)</f>
        <v/>
      </c>
      <c r="B139" s="7" t="str">
        <f>IF($A139="","",Registro_Contenedores!B139)</f>
        <v/>
      </c>
      <c r="C139" s="7" t="str">
        <f>IF($A139="","",Registro_Contenedores!E139)</f>
        <v/>
      </c>
      <c r="D139" s="7" t="str">
        <f>IF($A139="","",Registro_Contenedores!H139)</f>
        <v/>
      </c>
      <c r="E139" s="7" t="str">
        <f>IF($A139="","",Registro_Contenedores!J139)</f>
        <v/>
      </c>
      <c r="F139" s="7" t="str">
        <f>IF($A139="","",Planif_Grupasa!G139)</f>
        <v/>
      </c>
      <c r="G139" s="7" t="str">
        <f>IF($A139="","",Planif_Grupasa!I139)</f>
        <v/>
      </c>
      <c r="H139" s="7" t="str">
        <f>IF($A139="","",Planif_Galagans!I139)</f>
        <v/>
      </c>
      <c r="I139" s="7" t="str">
        <f>IF($A139="","",Registro_Contenedores!K139)</f>
        <v/>
      </c>
      <c r="J139" s="5"/>
      <c r="K139" s="5"/>
      <c r="L139" s="5"/>
      <c r="M139" s="5"/>
      <c r="N139" s="1"/>
      <c r="O139" s="1"/>
      <c r="P139" s="1"/>
      <c r="Q139" s="1"/>
    </row>
    <row r="140" spans="1:17" x14ac:dyDescent="0.35">
      <c r="A140" s="7" t="str">
        <f>IF(Registro_Contenedores!A140="","",Registro_Contenedores!A140)</f>
        <v/>
      </c>
      <c r="B140" s="7" t="str">
        <f>IF($A140="","",Registro_Contenedores!B140)</f>
        <v/>
      </c>
      <c r="C140" s="7" t="str">
        <f>IF($A140="","",Registro_Contenedores!E140)</f>
        <v/>
      </c>
      <c r="D140" s="7" t="str">
        <f>IF($A140="","",Registro_Contenedores!H140)</f>
        <v/>
      </c>
      <c r="E140" s="7" t="str">
        <f>IF($A140="","",Registro_Contenedores!J140)</f>
        <v/>
      </c>
      <c r="F140" s="7" t="str">
        <f>IF($A140="","",Planif_Grupasa!G140)</f>
        <v/>
      </c>
      <c r="G140" s="7" t="str">
        <f>IF($A140="","",Planif_Grupasa!I140)</f>
        <v/>
      </c>
      <c r="H140" s="7" t="str">
        <f>IF($A140="","",Planif_Galagans!I140)</f>
        <v/>
      </c>
      <c r="I140" s="7" t="str">
        <f>IF($A140="","",Registro_Contenedores!K140)</f>
        <v/>
      </c>
      <c r="J140" s="5"/>
      <c r="K140" s="5"/>
      <c r="L140" s="5"/>
      <c r="M140" s="5"/>
      <c r="N140" s="1"/>
      <c r="O140" s="1"/>
      <c r="P140" s="1"/>
      <c r="Q140" s="1"/>
    </row>
    <row r="141" spans="1:17" x14ac:dyDescent="0.35">
      <c r="A141" s="7" t="str">
        <f>IF(Registro_Contenedores!A141="","",Registro_Contenedores!A141)</f>
        <v/>
      </c>
      <c r="B141" s="7" t="str">
        <f>IF($A141="","",Registro_Contenedores!B141)</f>
        <v/>
      </c>
      <c r="C141" s="7" t="str">
        <f>IF($A141="","",Registro_Contenedores!E141)</f>
        <v/>
      </c>
      <c r="D141" s="7" t="str">
        <f>IF($A141="","",Registro_Contenedores!H141)</f>
        <v/>
      </c>
      <c r="E141" s="7" t="str">
        <f>IF($A141="","",Registro_Contenedores!J141)</f>
        <v/>
      </c>
      <c r="F141" s="7" t="str">
        <f>IF($A141="","",Planif_Grupasa!G141)</f>
        <v/>
      </c>
      <c r="G141" s="7" t="str">
        <f>IF($A141="","",Planif_Grupasa!I141)</f>
        <v/>
      </c>
      <c r="H141" s="7" t="str">
        <f>IF($A141="","",Planif_Galagans!I141)</f>
        <v/>
      </c>
      <c r="I141" s="7" t="str">
        <f>IF($A141="","",Registro_Contenedores!K141)</f>
        <v/>
      </c>
      <c r="J141" s="5"/>
      <c r="K141" s="5"/>
      <c r="L141" s="5"/>
      <c r="M141" s="5"/>
      <c r="N141" s="1"/>
      <c r="O141" s="1"/>
      <c r="P141" s="1"/>
      <c r="Q141" s="1"/>
    </row>
    <row r="142" spans="1:17" x14ac:dyDescent="0.35">
      <c r="A142" s="7" t="str">
        <f>IF(Registro_Contenedores!A142="","",Registro_Contenedores!A142)</f>
        <v/>
      </c>
      <c r="B142" s="7" t="str">
        <f>IF($A142="","",Registro_Contenedores!B142)</f>
        <v/>
      </c>
      <c r="C142" s="7" t="str">
        <f>IF($A142="","",Registro_Contenedores!E142)</f>
        <v/>
      </c>
      <c r="D142" s="7" t="str">
        <f>IF($A142="","",Registro_Contenedores!H142)</f>
        <v/>
      </c>
      <c r="E142" s="7" t="str">
        <f>IF($A142="","",Registro_Contenedores!J142)</f>
        <v/>
      </c>
      <c r="F142" s="7" t="str">
        <f>IF($A142="","",Planif_Grupasa!G142)</f>
        <v/>
      </c>
      <c r="G142" s="7" t="str">
        <f>IF($A142="","",Planif_Grupasa!I142)</f>
        <v/>
      </c>
      <c r="H142" s="7" t="str">
        <f>IF($A142="","",Planif_Galagans!I142)</f>
        <v/>
      </c>
      <c r="I142" s="7" t="str">
        <f>IF($A142="","",Registro_Contenedores!K142)</f>
        <v/>
      </c>
      <c r="J142" s="5"/>
      <c r="K142" s="5"/>
      <c r="L142" s="5"/>
      <c r="M142" s="5"/>
      <c r="N142" s="1"/>
      <c r="O142" s="1"/>
      <c r="P142" s="1"/>
      <c r="Q142" s="1"/>
    </row>
    <row r="143" spans="1:17" x14ac:dyDescent="0.35">
      <c r="A143" s="7" t="str">
        <f>IF(Registro_Contenedores!A143="","",Registro_Contenedores!A143)</f>
        <v/>
      </c>
      <c r="B143" s="7" t="str">
        <f>IF($A143="","",Registro_Contenedores!B143)</f>
        <v/>
      </c>
      <c r="C143" s="7" t="str">
        <f>IF($A143="","",Registro_Contenedores!E143)</f>
        <v/>
      </c>
      <c r="D143" s="7" t="str">
        <f>IF($A143="","",Registro_Contenedores!H143)</f>
        <v/>
      </c>
      <c r="E143" s="7" t="str">
        <f>IF($A143="","",Registro_Contenedores!J143)</f>
        <v/>
      </c>
      <c r="F143" s="7" t="str">
        <f>IF($A143="","",Planif_Grupasa!G143)</f>
        <v/>
      </c>
      <c r="G143" s="7" t="str">
        <f>IF($A143="","",Planif_Grupasa!I143)</f>
        <v/>
      </c>
      <c r="H143" s="7" t="str">
        <f>IF($A143="","",Planif_Galagans!I143)</f>
        <v/>
      </c>
      <c r="I143" s="7" t="str">
        <f>IF($A143="","",Registro_Contenedores!K143)</f>
        <v/>
      </c>
      <c r="J143" s="5"/>
      <c r="K143" s="5"/>
      <c r="L143" s="5"/>
      <c r="M143" s="5"/>
      <c r="N143" s="1"/>
      <c r="O143" s="1"/>
      <c r="P143" s="1"/>
      <c r="Q143" s="1"/>
    </row>
    <row r="144" spans="1:17" x14ac:dyDescent="0.35">
      <c r="A144" s="7" t="str">
        <f>IF(Registro_Contenedores!A144="","",Registro_Contenedores!A144)</f>
        <v/>
      </c>
      <c r="B144" s="7" t="str">
        <f>IF($A144="","",Registro_Contenedores!B144)</f>
        <v/>
      </c>
      <c r="C144" s="7" t="str">
        <f>IF($A144="","",Registro_Contenedores!E144)</f>
        <v/>
      </c>
      <c r="D144" s="7" t="str">
        <f>IF($A144="","",Registro_Contenedores!H144)</f>
        <v/>
      </c>
      <c r="E144" s="7" t="str">
        <f>IF($A144="","",Registro_Contenedores!J144)</f>
        <v/>
      </c>
      <c r="F144" s="7" t="str">
        <f>IF($A144="","",Planif_Grupasa!G144)</f>
        <v/>
      </c>
      <c r="G144" s="7" t="str">
        <f>IF($A144="","",Planif_Grupasa!I144)</f>
        <v/>
      </c>
      <c r="H144" s="7" t="str">
        <f>IF($A144="","",Planif_Galagans!I144)</f>
        <v/>
      </c>
      <c r="I144" s="7" t="str">
        <f>IF($A144="","",Registro_Contenedores!K144)</f>
        <v/>
      </c>
      <c r="J144" s="5"/>
      <c r="K144" s="5"/>
      <c r="L144" s="5"/>
      <c r="M144" s="5"/>
      <c r="N144" s="1"/>
      <c r="O144" s="1"/>
      <c r="P144" s="1"/>
      <c r="Q144" s="1"/>
    </row>
    <row r="145" spans="1:17" x14ac:dyDescent="0.35">
      <c r="A145" s="7" t="str">
        <f>IF(Registro_Contenedores!A145="","",Registro_Contenedores!A145)</f>
        <v/>
      </c>
      <c r="B145" s="7" t="str">
        <f>IF($A145="","",Registro_Contenedores!B145)</f>
        <v/>
      </c>
      <c r="C145" s="7" t="str">
        <f>IF($A145="","",Registro_Contenedores!E145)</f>
        <v/>
      </c>
      <c r="D145" s="7" t="str">
        <f>IF($A145="","",Registro_Contenedores!H145)</f>
        <v/>
      </c>
      <c r="E145" s="7" t="str">
        <f>IF($A145="","",Registro_Contenedores!J145)</f>
        <v/>
      </c>
      <c r="F145" s="7" t="str">
        <f>IF($A145="","",Planif_Grupasa!G145)</f>
        <v/>
      </c>
      <c r="G145" s="7" t="str">
        <f>IF($A145="","",Planif_Grupasa!I145)</f>
        <v/>
      </c>
      <c r="H145" s="7" t="str">
        <f>IF($A145="","",Planif_Galagans!I145)</f>
        <v/>
      </c>
      <c r="I145" s="7" t="str">
        <f>IF($A145="","",Registro_Contenedores!K145)</f>
        <v/>
      </c>
      <c r="J145" s="5"/>
      <c r="K145" s="5"/>
      <c r="L145" s="5"/>
      <c r="M145" s="5"/>
      <c r="N145" s="1"/>
      <c r="O145" s="1"/>
      <c r="P145" s="1"/>
      <c r="Q145" s="1"/>
    </row>
    <row r="146" spans="1:17" x14ac:dyDescent="0.35">
      <c r="A146" s="7" t="str">
        <f>IF(Registro_Contenedores!A146="","",Registro_Contenedores!A146)</f>
        <v/>
      </c>
      <c r="B146" s="7" t="str">
        <f>IF($A146="","",Registro_Contenedores!B146)</f>
        <v/>
      </c>
      <c r="C146" s="7" t="str">
        <f>IF($A146="","",Registro_Contenedores!E146)</f>
        <v/>
      </c>
      <c r="D146" s="7" t="str">
        <f>IF($A146="","",Registro_Contenedores!H146)</f>
        <v/>
      </c>
      <c r="E146" s="7" t="str">
        <f>IF($A146="","",Registro_Contenedores!J146)</f>
        <v/>
      </c>
      <c r="F146" s="7" t="str">
        <f>IF($A146="","",Planif_Grupasa!G146)</f>
        <v/>
      </c>
      <c r="G146" s="7" t="str">
        <f>IF($A146="","",Planif_Grupasa!I146)</f>
        <v/>
      </c>
      <c r="H146" s="7" t="str">
        <f>IF($A146="","",Planif_Galagans!I146)</f>
        <v/>
      </c>
      <c r="I146" s="7" t="str">
        <f>IF($A146="","",Registro_Contenedores!K146)</f>
        <v/>
      </c>
      <c r="J146" s="5"/>
      <c r="K146" s="5"/>
      <c r="L146" s="5"/>
      <c r="M146" s="5"/>
      <c r="N146" s="1"/>
      <c r="O146" s="1"/>
      <c r="P146" s="1"/>
      <c r="Q146" s="1"/>
    </row>
    <row r="147" spans="1:17" x14ac:dyDescent="0.35">
      <c r="A147" s="7" t="str">
        <f>IF(Registro_Contenedores!A147="","",Registro_Contenedores!A147)</f>
        <v/>
      </c>
      <c r="B147" s="7" t="str">
        <f>IF($A147="","",Registro_Contenedores!B147)</f>
        <v/>
      </c>
      <c r="C147" s="7" t="str">
        <f>IF($A147="","",Registro_Contenedores!E147)</f>
        <v/>
      </c>
      <c r="D147" s="7" t="str">
        <f>IF($A147="","",Registro_Contenedores!H147)</f>
        <v/>
      </c>
      <c r="E147" s="7" t="str">
        <f>IF($A147="","",Registro_Contenedores!J147)</f>
        <v/>
      </c>
      <c r="F147" s="7" t="str">
        <f>IF($A147="","",Planif_Grupasa!G147)</f>
        <v/>
      </c>
      <c r="G147" s="7" t="str">
        <f>IF($A147="","",Planif_Grupasa!I147)</f>
        <v/>
      </c>
      <c r="H147" s="7" t="str">
        <f>IF($A147="","",Planif_Galagans!I147)</f>
        <v/>
      </c>
      <c r="I147" s="7" t="str">
        <f>IF($A147="","",Registro_Contenedores!K147)</f>
        <v/>
      </c>
      <c r="J147" s="5"/>
      <c r="K147" s="5"/>
      <c r="L147" s="5"/>
      <c r="M147" s="5"/>
      <c r="N147" s="1"/>
      <c r="O147" s="1"/>
      <c r="P147" s="1"/>
      <c r="Q147" s="1"/>
    </row>
    <row r="148" spans="1:17" x14ac:dyDescent="0.35">
      <c r="A148" s="7" t="str">
        <f>IF(Registro_Contenedores!A148="","",Registro_Contenedores!A148)</f>
        <v/>
      </c>
      <c r="B148" s="7" t="str">
        <f>IF($A148="","",Registro_Contenedores!B148)</f>
        <v/>
      </c>
      <c r="C148" s="7" t="str">
        <f>IF($A148="","",Registro_Contenedores!E148)</f>
        <v/>
      </c>
      <c r="D148" s="7" t="str">
        <f>IF($A148="","",Registro_Contenedores!H148)</f>
        <v/>
      </c>
      <c r="E148" s="7" t="str">
        <f>IF($A148="","",Registro_Contenedores!J148)</f>
        <v/>
      </c>
      <c r="F148" s="7" t="str">
        <f>IF($A148="","",Planif_Grupasa!G148)</f>
        <v/>
      </c>
      <c r="G148" s="7" t="str">
        <f>IF($A148="","",Planif_Grupasa!I148)</f>
        <v/>
      </c>
      <c r="H148" s="7" t="str">
        <f>IF($A148="","",Planif_Galagans!I148)</f>
        <v/>
      </c>
      <c r="I148" s="7" t="str">
        <f>IF($A148="","",Registro_Contenedores!K148)</f>
        <v/>
      </c>
      <c r="J148" s="5"/>
      <c r="K148" s="5"/>
      <c r="L148" s="5"/>
      <c r="M148" s="5"/>
      <c r="N148" s="1"/>
      <c r="O148" s="1"/>
      <c r="P148" s="1"/>
      <c r="Q148" s="1"/>
    </row>
    <row r="149" spans="1:17" x14ac:dyDescent="0.35">
      <c r="A149" s="7" t="str">
        <f>IF(Registro_Contenedores!A149="","",Registro_Contenedores!A149)</f>
        <v/>
      </c>
      <c r="B149" s="7" t="str">
        <f>IF($A149="","",Registro_Contenedores!B149)</f>
        <v/>
      </c>
      <c r="C149" s="7" t="str">
        <f>IF($A149="","",Registro_Contenedores!E149)</f>
        <v/>
      </c>
      <c r="D149" s="7" t="str">
        <f>IF($A149="","",Registro_Contenedores!H149)</f>
        <v/>
      </c>
      <c r="E149" s="7" t="str">
        <f>IF($A149="","",Registro_Contenedores!J149)</f>
        <v/>
      </c>
      <c r="F149" s="7" t="str">
        <f>IF($A149="","",Planif_Grupasa!G149)</f>
        <v/>
      </c>
      <c r="G149" s="7" t="str">
        <f>IF($A149="","",Planif_Grupasa!I149)</f>
        <v/>
      </c>
      <c r="H149" s="7" t="str">
        <f>IF($A149="","",Planif_Galagans!I149)</f>
        <v/>
      </c>
      <c r="I149" s="7" t="str">
        <f>IF($A149="","",Registro_Contenedores!K149)</f>
        <v/>
      </c>
      <c r="J149" s="5"/>
      <c r="K149" s="5"/>
      <c r="L149" s="5"/>
      <c r="M149" s="5"/>
      <c r="N149" s="1"/>
      <c r="O149" s="1"/>
      <c r="P149" s="1"/>
      <c r="Q149" s="1"/>
    </row>
    <row r="150" spans="1:17" x14ac:dyDescent="0.35">
      <c r="A150" s="7" t="str">
        <f>IF(Registro_Contenedores!A150="","",Registro_Contenedores!A150)</f>
        <v/>
      </c>
      <c r="B150" s="7" t="str">
        <f>IF($A150="","",Registro_Contenedores!B150)</f>
        <v/>
      </c>
      <c r="C150" s="7" t="str">
        <f>IF($A150="","",Registro_Contenedores!E150)</f>
        <v/>
      </c>
      <c r="D150" s="7" t="str">
        <f>IF($A150="","",Registro_Contenedores!H150)</f>
        <v/>
      </c>
      <c r="E150" s="7" t="str">
        <f>IF($A150="","",Registro_Contenedores!J150)</f>
        <v/>
      </c>
      <c r="F150" s="7" t="str">
        <f>IF($A150="","",Planif_Grupasa!G150)</f>
        <v/>
      </c>
      <c r="G150" s="7" t="str">
        <f>IF($A150="","",Planif_Grupasa!I150)</f>
        <v/>
      </c>
      <c r="H150" s="7" t="str">
        <f>IF($A150="","",Planif_Galagans!I150)</f>
        <v/>
      </c>
      <c r="I150" s="7" t="str">
        <f>IF($A150="","",Registro_Contenedores!K150)</f>
        <v/>
      </c>
      <c r="J150" s="5"/>
      <c r="K150" s="5"/>
      <c r="L150" s="5"/>
      <c r="M150" s="5"/>
      <c r="N150" s="1"/>
      <c r="O150" s="1"/>
      <c r="P150" s="1"/>
      <c r="Q150" s="1"/>
    </row>
    <row r="151" spans="1:17" x14ac:dyDescent="0.35">
      <c r="A151" s="7" t="str">
        <f>IF(Registro_Contenedores!A151="","",Registro_Contenedores!A151)</f>
        <v/>
      </c>
      <c r="B151" s="7" t="str">
        <f>IF($A151="","",Registro_Contenedores!B151)</f>
        <v/>
      </c>
      <c r="C151" s="7" t="str">
        <f>IF($A151="","",Registro_Contenedores!E151)</f>
        <v/>
      </c>
      <c r="D151" s="7" t="str">
        <f>IF($A151="","",Registro_Contenedores!H151)</f>
        <v/>
      </c>
      <c r="E151" s="7" t="str">
        <f>IF($A151="","",Registro_Contenedores!J151)</f>
        <v/>
      </c>
      <c r="F151" s="7" t="str">
        <f>IF($A151="","",Planif_Grupasa!G151)</f>
        <v/>
      </c>
      <c r="G151" s="7" t="str">
        <f>IF($A151="","",Planif_Grupasa!I151)</f>
        <v/>
      </c>
      <c r="H151" s="7" t="str">
        <f>IF($A151="","",Planif_Galagans!I151)</f>
        <v/>
      </c>
      <c r="I151" s="7" t="str">
        <f>IF($A151="","",Registro_Contenedores!K151)</f>
        <v/>
      </c>
      <c r="J151" s="5"/>
      <c r="K151" s="5"/>
      <c r="L151" s="5"/>
      <c r="M151" s="5"/>
      <c r="N151" s="1"/>
      <c r="O151" s="1"/>
      <c r="P151" s="1"/>
      <c r="Q151" s="1"/>
    </row>
    <row r="152" spans="1:17" x14ac:dyDescent="0.35">
      <c r="A152" s="7" t="str">
        <f>IF(Registro_Contenedores!A152="","",Registro_Contenedores!A152)</f>
        <v/>
      </c>
      <c r="B152" s="7" t="str">
        <f>IF($A152="","",Registro_Contenedores!B152)</f>
        <v/>
      </c>
      <c r="C152" s="7" t="str">
        <f>IF($A152="","",Registro_Contenedores!E152)</f>
        <v/>
      </c>
      <c r="D152" s="7" t="str">
        <f>IF($A152="","",Registro_Contenedores!H152)</f>
        <v/>
      </c>
      <c r="E152" s="7" t="str">
        <f>IF($A152="","",Registro_Contenedores!J152)</f>
        <v/>
      </c>
      <c r="F152" s="7" t="str">
        <f>IF($A152="","",Planif_Grupasa!G152)</f>
        <v/>
      </c>
      <c r="G152" s="7" t="str">
        <f>IF($A152="","",Planif_Grupasa!I152)</f>
        <v/>
      </c>
      <c r="H152" s="7" t="str">
        <f>IF($A152="","",Planif_Galagans!I152)</f>
        <v/>
      </c>
      <c r="I152" s="7" t="str">
        <f>IF($A152="","",Registro_Contenedores!K152)</f>
        <v/>
      </c>
      <c r="J152" s="5"/>
      <c r="K152" s="5"/>
      <c r="L152" s="5"/>
      <c r="M152" s="5"/>
      <c r="N152" s="1"/>
      <c r="O152" s="1"/>
      <c r="P152" s="1"/>
      <c r="Q152" s="1"/>
    </row>
    <row r="153" spans="1:17" x14ac:dyDescent="0.35">
      <c r="A153" s="7" t="str">
        <f>IF(Registro_Contenedores!A153="","",Registro_Contenedores!A153)</f>
        <v/>
      </c>
      <c r="B153" s="7" t="str">
        <f>IF($A153="","",Registro_Contenedores!B153)</f>
        <v/>
      </c>
      <c r="C153" s="7" t="str">
        <f>IF($A153="","",Registro_Contenedores!E153)</f>
        <v/>
      </c>
      <c r="D153" s="7" t="str">
        <f>IF($A153="","",Registro_Contenedores!H153)</f>
        <v/>
      </c>
      <c r="E153" s="7" t="str">
        <f>IF($A153="","",Registro_Contenedores!J153)</f>
        <v/>
      </c>
      <c r="F153" s="7" t="str">
        <f>IF($A153="","",Planif_Grupasa!G153)</f>
        <v/>
      </c>
      <c r="G153" s="7" t="str">
        <f>IF($A153="","",Planif_Grupasa!I153)</f>
        <v/>
      </c>
      <c r="H153" s="7" t="str">
        <f>IF($A153="","",Planif_Galagans!I153)</f>
        <v/>
      </c>
      <c r="I153" s="7" t="str">
        <f>IF($A153="","",Registro_Contenedores!K153)</f>
        <v/>
      </c>
      <c r="J153" s="5"/>
      <c r="K153" s="5"/>
      <c r="L153" s="5"/>
      <c r="M153" s="5"/>
      <c r="N153" s="1"/>
      <c r="O153" s="1"/>
      <c r="P153" s="1"/>
      <c r="Q153" s="1"/>
    </row>
    <row r="154" spans="1:17" x14ac:dyDescent="0.35">
      <c r="A154" s="7" t="str">
        <f>IF(Registro_Contenedores!A154="","",Registro_Contenedores!A154)</f>
        <v/>
      </c>
      <c r="B154" s="7" t="str">
        <f>IF($A154="","",Registro_Contenedores!B154)</f>
        <v/>
      </c>
      <c r="C154" s="7" t="str">
        <f>IF($A154="","",Registro_Contenedores!E154)</f>
        <v/>
      </c>
      <c r="D154" s="7" t="str">
        <f>IF($A154="","",Registro_Contenedores!H154)</f>
        <v/>
      </c>
      <c r="E154" s="7" t="str">
        <f>IF($A154="","",Registro_Contenedores!J154)</f>
        <v/>
      </c>
      <c r="F154" s="7" t="str">
        <f>IF($A154="","",Planif_Grupasa!G154)</f>
        <v/>
      </c>
      <c r="G154" s="7" t="str">
        <f>IF($A154="","",Planif_Grupasa!I154)</f>
        <v/>
      </c>
      <c r="H154" s="7" t="str">
        <f>IF($A154="","",Planif_Galagans!I154)</f>
        <v/>
      </c>
      <c r="I154" s="7" t="str">
        <f>IF($A154="","",Registro_Contenedores!K154)</f>
        <v/>
      </c>
      <c r="J154" s="5"/>
      <c r="K154" s="5"/>
      <c r="L154" s="5"/>
      <c r="M154" s="5"/>
      <c r="N154" s="1"/>
      <c r="O154" s="1"/>
      <c r="P154" s="1"/>
      <c r="Q154" s="1"/>
    </row>
    <row r="155" spans="1:17" x14ac:dyDescent="0.35">
      <c r="A155" s="7" t="str">
        <f>IF(Registro_Contenedores!A155="","",Registro_Contenedores!A155)</f>
        <v/>
      </c>
      <c r="B155" s="7" t="str">
        <f>IF($A155="","",Registro_Contenedores!B155)</f>
        <v/>
      </c>
      <c r="C155" s="7" t="str">
        <f>IF($A155="","",Registro_Contenedores!E155)</f>
        <v/>
      </c>
      <c r="D155" s="7" t="str">
        <f>IF($A155="","",Registro_Contenedores!H155)</f>
        <v/>
      </c>
      <c r="E155" s="7" t="str">
        <f>IF($A155="","",Registro_Contenedores!J155)</f>
        <v/>
      </c>
      <c r="F155" s="7" t="str">
        <f>IF($A155="","",Planif_Grupasa!G155)</f>
        <v/>
      </c>
      <c r="G155" s="7" t="str">
        <f>IF($A155="","",Planif_Grupasa!I155)</f>
        <v/>
      </c>
      <c r="H155" s="7" t="str">
        <f>IF($A155="","",Planif_Galagans!I155)</f>
        <v/>
      </c>
      <c r="I155" s="7" t="str">
        <f>IF($A155="","",Registro_Contenedores!K155)</f>
        <v/>
      </c>
      <c r="J155" s="5"/>
      <c r="K155" s="5"/>
      <c r="L155" s="5"/>
      <c r="M155" s="5"/>
      <c r="N155" s="1"/>
      <c r="O155" s="1"/>
      <c r="P155" s="1"/>
      <c r="Q155" s="1"/>
    </row>
    <row r="156" spans="1:17" x14ac:dyDescent="0.35">
      <c r="A156" s="7" t="str">
        <f>IF(Registro_Contenedores!A156="","",Registro_Contenedores!A156)</f>
        <v/>
      </c>
      <c r="B156" s="7" t="str">
        <f>IF($A156="","",Registro_Contenedores!B156)</f>
        <v/>
      </c>
      <c r="C156" s="7" t="str">
        <f>IF($A156="","",Registro_Contenedores!E156)</f>
        <v/>
      </c>
      <c r="D156" s="7" t="str">
        <f>IF($A156="","",Registro_Contenedores!H156)</f>
        <v/>
      </c>
      <c r="E156" s="7" t="str">
        <f>IF($A156="","",Registro_Contenedores!J156)</f>
        <v/>
      </c>
      <c r="F156" s="7" t="str">
        <f>IF($A156="","",Planif_Grupasa!G156)</f>
        <v/>
      </c>
      <c r="G156" s="7" t="str">
        <f>IF($A156="","",Planif_Grupasa!I156)</f>
        <v/>
      </c>
      <c r="H156" s="7" t="str">
        <f>IF($A156="","",Planif_Galagans!I156)</f>
        <v/>
      </c>
      <c r="I156" s="7" t="str">
        <f>IF($A156="","",Registro_Contenedores!K156)</f>
        <v/>
      </c>
      <c r="J156" s="5"/>
      <c r="K156" s="5"/>
      <c r="L156" s="5"/>
      <c r="M156" s="5"/>
      <c r="N156" s="1"/>
      <c r="O156" s="1"/>
      <c r="P156" s="1"/>
      <c r="Q156" s="1"/>
    </row>
    <row r="157" spans="1:17" x14ac:dyDescent="0.35">
      <c r="A157" s="7" t="str">
        <f>IF(Registro_Contenedores!A157="","",Registro_Contenedores!A157)</f>
        <v/>
      </c>
      <c r="B157" s="7" t="str">
        <f>IF($A157="","",Registro_Contenedores!B157)</f>
        <v/>
      </c>
      <c r="C157" s="7" t="str">
        <f>IF($A157="","",Registro_Contenedores!E157)</f>
        <v/>
      </c>
      <c r="D157" s="7" t="str">
        <f>IF($A157="","",Registro_Contenedores!H157)</f>
        <v/>
      </c>
      <c r="E157" s="7" t="str">
        <f>IF($A157="","",Registro_Contenedores!J157)</f>
        <v/>
      </c>
      <c r="F157" s="7" t="str">
        <f>IF($A157="","",Planif_Grupasa!G157)</f>
        <v/>
      </c>
      <c r="G157" s="7" t="str">
        <f>IF($A157="","",Planif_Grupasa!I157)</f>
        <v/>
      </c>
      <c r="H157" s="7" t="str">
        <f>IF($A157="","",Planif_Galagans!I157)</f>
        <v/>
      </c>
      <c r="I157" s="7" t="str">
        <f>IF($A157="","",Registro_Contenedores!K157)</f>
        <v/>
      </c>
      <c r="J157" s="5"/>
      <c r="K157" s="5"/>
      <c r="L157" s="5"/>
      <c r="M157" s="5"/>
      <c r="N157" s="1"/>
      <c r="O157" s="1"/>
      <c r="P157" s="1"/>
      <c r="Q157" s="1"/>
    </row>
    <row r="158" spans="1:17" x14ac:dyDescent="0.35">
      <c r="A158" s="7" t="str">
        <f>IF(Registro_Contenedores!A158="","",Registro_Contenedores!A158)</f>
        <v/>
      </c>
      <c r="B158" s="7" t="str">
        <f>IF($A158="","",Registro_Contenedores!B158)</f>
        <v/>
      </c>
      <c r="C158" s="7" t="str">
        <f>IF($A158="","",Registro_Contenedores!E158)</f>
        <v/>
      </c>
      <c r="D158" s="7" t="str">
        <f>IF($A158="","",Registro_Contenedores!H158)</f>
        <v/>
      </c>
      <c r="E158" s="7" t="str">
        <f>IF($A158="","",Registro_Contenedores!J158)</f>
        <v/>
      </c>
      <c r="F158" s="7" t="str">
        <f>IF($A158="","",Planif_Grupasa!G158)</f>
        <v/>
      </c>
      <c r="G158" s="7" t="str">
        <f>IF($A158="","",Planif_Grupasa!I158)</f>
        <v/>
      </c>
      <c r="H158" s="7" t="str">
        <f>IF($A158="","",Planif_Galagans!I158)</f>
        <v/>
      </c>
      <c r="I158" s="7" t="str">
        <f>IF($A158="","",Registro_Contenedores!K158)</f>
        <v/>
      </c>
      <c r="J158" s="5"/>
      <c r="K158" s="5"/>
      <c r="L158" s="5"/>
      <c r="M158" s="5"/>
      <c r="N158" s="1"/>
      <c r="O158" s="1"/>
      <c r="P158" s="1"/>
      <c r="Q158" s="1"/>
    </row>
    <row r="159" spans="1:17" x14ac:dyDescent="0.35">
      <c r="A159" s="7" t="str">
        <f>IF(Registro_Contenedores!A159="","",Registro_Contenedores!A159)</f>
        <v/>
      </c>
      <c r="B159" s="7" t="str">
        <f>IF($A159="","",Registro_Contenedores!B159)</f>
        <v/>
      </c>
      <c r="C159" s="7" t="str">
        <f>IF($A159="","",Registro_Contenedores!E159)</f>
        <v/>
      </c>
      <c r="D159" s="7" t="str">
        <f>IF($A159="","",Registro_Contenedores!H159)</f>
        <v/>
      </c>
      <c r="E159" s="7" t="str">
        <f>IF($A159="","",Registro_Contenedores!J159)</f>
        <v/>
      </c>
      <c r="F159" s="7" t="str">
        <f>IF($A159="","",Planif_Grupasa!G159)</f>
        <v/>
      </c>
      <c r="G159" s="7" t="str">
        <f>IF($A159="","",Planif_Grupasa!I159)</f>
        <v/>
      </c>
      <c r="H159" s="7" t="str">
        <f>IF($A159="","",Planif_Galagans!I159)</f>
        <v/>
      </c>
      <c r="I159" s="7" t="str">
        <f>IF($A159="","",Registro_Contenedores!K159)</f>
        <v/>
      </c>
      <c r="J159" s="5"/>
      <c r="K159" s="5"/>
      <c r="L159" s="5"/>
      <c r="M159" s="5"/>
      <c r="N159" s="1"/>
      <c r="O159" s="1"/>
      <c r="P159" s="1"/>
      <c r="Q159" s="1"/>
    </row>
    <row r="160" spans="1:17" x14ac:dyDescent="0.35">
      <c r="A160" s="7" t="str">
        <f>IF(Registro_Contenedores!A160="","",Registro_Contenedores!A160)</f>
        <v/>
      </c>
      <c r="B160" s="7" t="str">
        <f>IF($A160="","",Registro_Contenedores!B160)</f>
        <v/>
      </c>
      <c r="C160" s="7" t="str">
        <f>IF($A160="","",Registro_Contenedores!E160)</f>
        <v/>
      </c>
      <c r="D160" s="7" t="str">
        <f>IF($A160="","",Registro_Contenedores!H160)</f>
        <v/>
      </c>
      <c r="E160" s="7" t="str">
        <f>IF($A160="","",Registro_Contenedores!J160)</f>
        <v/>
      </c>
      <c r="F160" s="7" t="str">
        <f>IF($A160="","",Planif_Grupasa!G160)</f>
        <v/>
      </c>
      <c r="G160" s="7" t="str">
        <f>IF($A160="","",Planif_Grupasa!I160)</f>
        <v/>
      </c>
      <c r="H160" s="7" t="str">
        <f>IF($A160="","",Planif_Galagans!I160)</f>
        <v/>
      </c>
      <c r="I160" s="7" t="str">
        <f>IF($A160="","",Registro_Contenedores!K160)</f>
        <v/>
      </c>
      <c r="J160" s="5"/>
      <c r="K160" s="5"/>
      <c r="L160" s="5"/>
      <c r="M160" s="5"/>
      <c r="N160" s="1"/>
      <c r="O160" s="1"/>
      <c r="P160" s="1"/>
      <c r="Q160" s="1"/>
    </row>
    <row r="161" spans="1:17" x14ac:dyDescent="0.35">
      <c r="A161" s="7" t="str">
        <f>IF(Registro_Contenedores!A161="","",Registro_Contenedores!A161)</f>
        <v/>
      </c>
      <c r="B161" s="7" t="str">
        <f>IF($A161="","",Registro_Contenedores!B161)</f>
        <v/>
      </c>
      <c r="C161" s="7" t="str">
        <f>IF($A161="","",Registro_Contenedores!E161)</f>
        <v/>
      </c>
      <c r="D161" s="7" t="str">
        <f>IF($A161="","",Registro_Contenedores!H161)</f>
        <v/>
      </c>
      <c r="E161" s="7" t="str">
        <f>IF($A161="","",Registro_Contenedores!J161)</f>
        <v/>
      </c>
      <c r="F161" s="7" t="str">
        <f>IF($A161="","",Planif_Grupasa!G161)</f>
        <v/>
      </c>
      <c r="G161" s="7" t="str">
        <f>IF($A161="","",Planif_Grupasa!I161)</f>
        <v/>
      </c>
      <c r="H161" s="7" t="str">
        <f>IF($A161="","",Planif_Galagans!I161)</f>
        <v/>
      </c>
      <c r="I161" s="7" t="str">
        <f>IF($A161="","",Registro_Contenedores!K161)</f>
        <v/>
      </c>
      <c r="J161" s="5"/>
      <c r="K161" s="5"/>
      <c r="L161" s="5"/>
      <c r="M161" s="5"/>
      <c r="N161" s="1"/>
      <c r="O161" s="1"/>
      <c r="P161" s="1"/>
      <c r="Q161" s="1"/>
    </row>
    <row r="162" spans="1:17" x14ac:dyDescent="0.35">
      <c r="A162" s="7" t="str">
        <f>IF(Registro_Contenedores!A162="","",Registro_Contenedores!A162)</f>
        <v/>
      </c>
      <c r="B162" s="7" t="str">
        <f>IF($A162="","",Registro_Contenedores!B162)</f>
        <v/>
      </c>
      <c r="C162" s="7" t="str">
        <f>IF($A162="","",Registro_Contenedores!E162)</f>
        <v/>
      </c>
      <c r="D162" s="7" t="str">
        <f>IF($A162="","",Registro_Contenedores!H162)</f>
        <v/>
      </c>
      <c r="E162" s="7" t="str">
        <f>IF($A162="","",Registro_Contenedores!J162)</f>
        <v/>
      </c>
      <c r="F162" s="7" t="str">
        <f>IF($A162="","",Planif_Grupasa!G162)</f>
        <v/>
      </c>
      <c r="G162" s="7" t="str">
        <f>IF($A162="","",Planif_Grupasa!I162)</f>
        <v/>
      </c>
      <c r="H162" s="7" t="str">
        <f>IF($A162="","",Planif_Galagans!I162)</f>
        <v/>
      </c>
      <c r="I162" s="7" t="str">
        <f>IF($A162="","",Registro_Contenedores!K162)</f>
        <v/>
      </c>
      <c r="J162" s="5"/>
      <c r="K162" s="5"/>
      <c r="L162" s="5"/>
      <c r="M162" s="5"/>
      <c r="N162" s="1"/>
      <c r="O162" s="1"/>
      <c r="P162" s="1"/>
      <c r="Q162" s="1"/>
    </row>
    <row r="163" spans="1:17" x14ac:dyDescent="0.35">
      <c r="A163" s="7" t="str">
        <f>IF(Registro_Contenedores!A163="","",Registro_Contenedores!A163)</f>
        <v/>
      </c>
      <c r="B163" s="7" t="str">
        <f>IF($A163="","",Registro_Contenedores!B163)</f>
        <v/>
      </c>
      <c r="C163" s="7" t="str">
        <f>IF($A163="","",Registro_Contenedores!E163)</f>
        <v/>
      </c>
      <c r="D163" s="7" t="str">
        <f>IF($A163="","",Registro_Contenedores!H163)</f>
        <v/>
      </c>
      <c r="E163" s="7" t="str">
        <f>IF($A163="","",Registro_Contenedores!J163)</f>
        <v/>
      </c>
      <c r="F163" s="7" t="str">
        <f>IF($A163="","",Planif_Grupasa!G163)</f>
        <v/>
      </c>
      <c r="G163" s="7" t="str">
        <f>IF($A163="","",Planif_Grupasa!I163)</f>
        <v/>
      </c>
      <c r="H163" s="7" t="str">
        <f>IF($A163="","",Planif_Galagans!I163)</f>
        <v/>
      </c>
      <c r="I163" s="7" t="str">
        <f>IF($A163="","",Registro_Contenedores!K163)</f>
        <v/>
      </c>
      <c r="J163" s="5"/>
      <c r="K163" s="5"/>
      <c r="L163" s="5"/>
      <c r="M163" s="5"/>
      <c r="N163" s="1"/>
      <c r="O163" s="1"/>
      <c r="P163" s="1"/>
      <c r="Q163" s="1"/>
    </row>
    <row r="164" spans="1:17" x14ac:dyDescent="0.35">
      <c r="A164" s="7" t="str">
        <f>IF(Registro_Contenedores!A164="","",Registro_Contenedores!A164)</f>
        <v/>
      </c>
      <c r="B164" s="7" t="str">
        <f>IF($A164="","",Registro_Contenedores!B164)</f>
        <v/>
      </c>
      <c r="C164" s="7" t="str">
        <f>IF($A164="","",Registro_Contenedores!E164)</f>
        <v/>
      </c>
      <c r="D164" s="7" t="str">
        <f>IF($A164="","",Registro_Contenedores!H164)</f>
        <v/>
      </c>
      <c r="E164" s="7" t="str">
        <f>IF($A164="","",Registro_Contenedores!J164)</f>
        <v/>
      </c>
      <c r="F164" s="7" t="str">
        <f>IF($A164="","",Planif_Grupasa!G164)</f>
        <v/>
      </c>
      <c r="G164" s="7" t="str">
        <f>IF($A164="","",Planif_Grupasa!I164)</f>
        <v/>
      </c>
      <c r="H164" s="7" t="str">
        <f>IF($A164="","",Planif_Galagans!I164)</f>
        <v/>
      </c>
      <c r="I164" s="7" t="str">
        <f>IF($A164="","",Registro_Contenedores!K164)</f>
        <v/>
      </c>
      <c r="J164" s="5"/>
      <c r="K164" s="5"/>
      <c r="L164" s="5"/>
      <c r="M164" s="5"/>
      <c r="N164" s="1"/>
      <c r="O164" s="1"/>
      <c r="P164" s="1"/>
      <c r="Q164" s="1"/>
    </row>
    <row r="165" spans="1:17" x14ac:dyDescent="0.35">
      <c r="A165" s="7" t="str">
        <f>IF(Registro_Contenedores!A165="","",Registro_Contenedores!A165)</f>
        <v/>
      </c>
      <c r="B165" s="7" t="str">
        <f>IF($A165="","",Registro_Contenedores!B165)</f>
        <v/>
      </c>
      <c r="C165" s="7" t="str">
        <f>IF($A165="","",Registro_Contenedores!E165)</f>
        <v/>
      </c>
      <c r="D165" s="7" t="str">
        <f>IF($A165="","",Registro_Contenedores!H165)</f>
        <v/>
      </c>
      <c r="E165" s="7" t="str">
        <f>IF($A165="","",Registro_Contenedores!J165)</f>
        <v/>
      </c>
      <c r="F165" s="7" t="str">
        <f>IF($A165="","",Planif_Grupasa!G165)</f>
        <v/>
      </c>
      <c r="G165" s="7" t="str">
        <f>IF($A165="","",Planif_Grupasa!I165)</f>
        <v/>
      </c>
      <c r="H165" s="7" t="str">
        <f>IF($A165="","",Planif_Galagans!I165)</f>
        <v/>
      </c>
      <c r="I165" s="7" t="str">
        <f>IF($A165="","",Registro_Contenedores!K165)</f>
        <v/>
      </c>
      <c r="J165" s="5"/>
      <c r="K165" s="5"/>
      <c r="L165" s="5"/>
      <c r="M165" s="5"/>
      <c r="N165" s="1"/>
      <c r="O165" s="1"/>
      <c r="P165" s="1"/>
      <c r="Q165" s="1"/>
    </row>
    <row r="166" spans="1:17" x14ac:dyDescent="0.35">
      <c r="A166" s="7" t="str">
        <f>IF(Registro_Contenedores!A166="","",Registro_Contenedores!A166)</f>
        <v/>
      </c>
      <c r="B166" s="7" t="str">
        <f>IF($A166="","",Registro_Contenedores!B166)</f>
        <v/>
      </c>
      <c r="C166" s="7" t="str">
        <f>IF($A166="","",Registro_Contenedores!E166)</f>
        <v/>
      </c>
      <c r="D166" s="7" t="str">
        <f>IF($A166="","",Registro_Contenedores!H166)</f>
        <v/>
      </c>
      <c r="E166" s="7" t="str">
        <f>IF($A166="","",Registro_Contenedores!J166)</f>
        <v/>
      </c>
      <c r="F166" s="7" t="str">
        <f>IF($A166="","",Planif_Grupasa!G166)</f>
        <v/>
      </c>
      <c r="G166" s="7" t="str">
        <f>IF($A166="","",Planif_Grupasa!I166)</f>
        <v/>
      </c>
      <c r="H166" s="7" t="str">
        <f>IF($A166="","",Planif_Galagans!I166)</f>
        <v/>
      </c>
      <c r="I166" s="7" t="str">
        <f>IF($A166="","",Registro_Contenedores!K166)</f>
        <v/>
      </c>
      <c r="J166" s="5"/>
      <c r="K166" s="5"/>
      <c r="L166" s="5"/>
      <c r="M166" s="5"/>
      <c r="N166" s="1"/>
      <c r="O166" s="1"/>
      <c r="P166" s="1"/>
      <c r="Q166" s="1"/>
    </row>
    <row r="167" spans="1:17" x14ac:dyDescent="0.35">
      <c r="A167" s="7" t="str">
        <f>IF(Registro_Contenedores!A167="","",Registro_Contenedores!A167)</f>
        <v/>
      </c>
      <c r="B167" s="7" t="str">
        <f>IF($A167="","",Registro_Contenedores!B167)</f>
        <v/>
      </c>
      <c r="C167" s="7" t="str">
        <f>IF($A167="","",Registro_Contenedores!E167)</f>
        <v/>
      </c>
      <c r="D167" s="7" t="str">
        <f>IF($A167="","",Registro_Contenedores!H167)</f>
        <v/>
      </c>
      <c r="E167" s="7" t="str">
        <f>IF($A167="","",Registro_Contenedores!J167)</f>
        <v/>
      </c>
      <c r="F167" s="7" t="str">
        <f>IF($A167="","",Planif_Grupasa!G167)</f>
        <v/>
      </c>
      <c r="G167" s="7" t="str">
        <f>IF($A167="","",Planif_Grupasa!I167)</f>
        <v/>
      </c>
      <c r="H167" s="7" t="str">
        <f>IF($A167="","",Planif_Galagans!I167)</f>
        <v/>
      </c>
      <c r="I167" s="7" t="str">
        <f>IF($A167="","",Registro_Contenedores!K167)</f>
        <v/>
      </c>
      <c r="J167" s="5"/>
      <c r="K167" s="5"/>
      <c r="L167" s="5"/>
      <c r="M167" s="5"/>
      <c r="N167" s="1"/>
      <c r="O167" s="1"/>
      <c r="P167" s="1"/>
      <c r="Q167" s="1"/>
    </row>
    <row r="168" spans="1:17" x14ac:dyDescent="0.35">
      <c r="A168" s="7" t="str">
        <f>IF(Registro_Contenedores!A168="","",Registro_Contenedores!A168)</f>
        <v/>
      </c>
      <c r="B168" s="7" t="str">
        <f>IF($A168="","",Registro_Contenedores!B168)</f>
        <v/>
      </c>
      <c r="C168" s="7" t="str">
        <f>IF($A168="","",Registro_Contenedores!E168)</f>
        <v/>
      </c>
      <c r="D168" s="7" t="str">
        <f>IF($A168="","",Registro_Contenedores!H168)</f>
        <v/>
      </c>
      <c r="E168" s="7" t="str">
        <f>IF($A168="","",Registro_Contenedores!J168)</f>
        <v/>
      </c>
      <c r="F168" s="7" t="str">
        <f>IF($A168="","",Planif_Grupasa!G168)</f>
        <v/>
      </c>
      <c r="G168" s="7" t="str">
        <f>IF($A168="","",Planif_Grupasa!I168)</f>
        <v/>
      </c>
      <c r="H168" s="7" t="str">
        <f>IF($A168="","",Planif_Galagans!I168)</f>
        <v/>
      </c>
      <c r="I168" s="7" t="str">
        <f>IF($A168="","",Registro_Contenedores!K168)</f>
        <v/>
      </c>
      <c r="J168" s="5"/>
      <c r="K168" s="5"/>
      <c r="L168" s="5"/>
      <c r="M168" s="5"/>
      <c r="N168" s="1"/>
      <c r="O168" s="1"/>
      <c r="P168" s="1"/>
      <c r="Q168" s="1"/>
    </row>
    <row r="169" spans="1:17" x14ac:dyDescent="0.35">
      <c r="A169" s="7" t="str">
        <f>IF(Registro_Contenedores!A169="","",Registro_Contenedores!A169)</f>
        <v/>
      </c>
      <c r="B169" s="7" t="str">
        <f>IF($A169="","",Registro_Contenedores!B169)</f>
        <v/>
      </c>
      <c r="C169" s="7" t="str">
        <f>IF($A169="","",Registro_Contenedores!E169)</f>
        <v/>
      </c>
      <c r="D169" s="7" t="str">
        <f>IF($A169="","",Registro_Contenedores!H169)</f>
        <v/>
      </c>
      <c r="E169" s="7" t="str">
        <f>IF($A169="","",Registro_Contenedores!J169)</f>
        <v/>
      </c>
      <c r="F169" s="7" t="str">
        <f>IF($A169="","",Planif_Grupasa!G169)</f>
        <v/>
      </c>
      <c r="G169" s="7" t="str">
        <f>IF($A169="","",Planif_Grupasa!I169)</f>
        <v/>
      </c>
      <c r="H169" s="7" t="str">
        <f>IF($A169="","",Planif_Galagans!I169)</f>
        <v/>
      </c>
      <c r="I169" s="7" t="str">
        <f>IF($A169="","",Registro_Contenedores!K169)</f>
        <v/>
      </c>
      <c r="J169" s="5"/>
      <c r="K169" s="5"/>
      <c r="L169" s="5"/>
      <c r="M169" s="5"/>
      <c r="N169" s="1"/>
      <c r="O169" s="1"/>
      <c r="P169" s="1"/>
      <c r="Q169" s="1"/>
    </row>
    <row r="170" spans="1:17" x14ac:dyDescent="0.35">
      <c r="A170" s="7" t="str">
        <f>IF(Registro_Contenedores!A170="","",Registro_Contenedores!A170)</f>
        <v/>
      </c>
      <c r="B170" s="7" t="str">
        <f>IF($A170="","",Registro_Contenedores!B170)</f>
        <v/>
      </c>
      <c r="C170" s="7" t="str">
        <f>IF($A170="","",Registro_Contenedores!E170)</f>
        <v/>
      </c>
      <c r="D170" s="7" t="str">
        <f>IF($A170="","",Registro_Contenedores!H170)</f>
        <v/>
      </c>
      <c r="E170" s="7" t="str">
        <f>IF($A170="","",Registro_Contenedores!J170)</f>
        <v/>
      </c>
      <c r="F170" s="7" t="str">
        <f>IF($A170="","",Planif_Grupasa!G170)</f>
        <v/>
      </c>
      <c r="G170" s="7" t="str">
        <f>IF($A170="","",Planif_Grupasa!I170)</f>
        <v/>
      </c>
      <c r="H170" s="7" t="str">
        <f>IF($A170="","",Planif_Galagans!I170)</f>
        <v/>
      </c>
      <c r="I170" s="7" t="str">
        <f>IF($A170="","",Registro_Contenedores!K170)</f>
        <v/>
      </c>
      <c r="J170" s="5"/>
      <c r="K170" s="5"/>
      <c r="L170" s="5"/>
      <c r="M170" s="5"/>
      <c r="N170" s="1"/>
      <c r="O170" s="1"/>
      <c r="P170" s="1"/>
      <c r="Q170" s="1"/>
    </row>
    <row r="171" spans="1:17" x14ac:dyDescent="0.35">
      <c r="A171" s="7" t="str">
        <f>IF(Registro_Contenedores!A171="","",Registro_Contenedores!A171)</f>
        <v/>
      </c>
      <c r="B171" s="7" t="str">
        <f>IF($A171="","",Registro_Contenedores!B171)</f>
        <v/>
      </c>
      <c r="C171" s="7" t="str">
        <f>IF($A171="","",Registro_Contenedores!E171)</f>
        <v/>
      </c>
      <c r="D171" s="7" t="str">
        <f>IF($A171="","",Registro_Contenedores!H171)</f>
        <v/>
      </c>
      <c r="E171" s="7" t="str">
        <f>IF($A171="","",Registro_Contenedores!J171)</f>
        <v/>
      </c>
      <c r="F171" s="7" t="str">
        <f>IF($A171="","",Planif_Grupasa!G171)</f>
        <v/>
      </c>
      <c r="G171" s="7" t="str">
        <f>IF($A171="","",Planif_Grupasa!I171)</f>
        <v/>
      </c>
      <c r="H171" s="7" t="str">
        <f>IF($A171="","",Planif_Galagans!I171)</f>
        <v/>
      </c>
      <c r="I171" s="7" t="str">
        <f>IF($A171="","",Registro_Contenedores!K171)</f>
        <v/>
      </c>
      <c r="J171" s="5"/>
      <c r="K171" s="5"/>
      <c r="L171" s="5"/>
      <c r="M171" s="5"/>
      <c r="N171" s="1"/>
      <c r="O171" s="1"/>
      <c r="P171" s="1"/>
      <c r="Q171" s="1"/>
    </row>
    <row r="172" spans="1:17" x14ac:dyDescent="0.35">
      <c r="A172" s="7" t="str">
        <f>IF(Registro_Contenedores!A172="","",Registro_Contenedores!A172)</f>
        <v/>
      </c>
      <c r="B172" s="7" t="str">
        <f>IF($A172="","",Registro_Contenedores!B172)</f>
        <v/>
      </c>
      <c r="C172" s="7" t="str">
        <f>IF($A172="","",Registro_Contenedores!E172)</f>
        <v/>
      </c>
      <c r="D172" s="7" t="str">
        <f>IF($A172="","",Registro_Contenedores!H172)</f>
        <v/>
      </c>
      <c r="E172" s="7" t="str">
        <f>IF($A172="","",Registro_Contenedores!J172)</f>
        <v/>
      </c>
      <c r="F172" s="7" t="str">
        <f>IF($A172="","",Planif_Grupasa!G172)</f>
        <v/>
      </c>
      <c r="G172" s="7" t="str">
        <f>IF($A172="","",Planif_Grupasa!I172)</f>
        <v/>
      </c>
      <c r="H172" s="7" t="str">
        <f>IF($A172="","",Planif_Galagans!I172)</f>
        <v/>
      </c>
      <c r="I172" s="7" t="str">
        <f>IF($A172="","",Registro_Contenedores!K172)</f>
        <v/>
      </c>
      <c r="J172" s="5"/>
      <c r="K172" s="5"/>
      <c r="L172" s="5"/>
      <c r="M172" s="5"/>
      <c r="N172" s="1"/>
      <c r="O172" s="1"/>
      <c r="P172" s="1"/>
      <c r="Q172" s="1"/>
    </row>
    <row r="173" spans="1:17" x14ac:dyDescent="0.35">
      <c r="A173" s="7" t="str">
        <f>IF(Registro_Contenedores!A173="","",Registro_Contenedores!A173)</f>
        <v/>
      </c>
      <c r="B173" s="7" t="str">
        <f>IF($A173="","",Registro_Contenedores!B173)</f>
        <v/>
      </c>
      <c r="C173" s="7" t="str">
        <f>IF($A173="","",Registro_Contenedores!E173)</f>
        <v/>
      </c>
      <c r="D173" s="7" t="str">
        <f>IF($A173="","",Registro_Contenedores!H173)</f>
        <v/>
      </c>
      <c r="E173" s="7" t="str">
        <f>IF($A173="","",Registro_Contenedores!J173)</f>
        <v/>
      </c>
      <c r="F173" s="7" t="str">
        <f>IF($A173="","",Planif_Grupasa!G173)</f>
        <v/>
      </c>
      <c r="G173" s="7" t="str">
        <f>IF($A173="","",Planif_Grupasa!I173)</f>
        <v/>
      </c>
      <c r="H173" s="7" t="str">
        <f>IF($A173="","",Planif_Galagans!I173)</f>
        <v/>
      </c>
      <c r="I173" s="7" t="str">
        <f>IF($A173="","",Registro_Contenedores!K173)</f>
        <v/>
      </c>
      <c r="J173" s="5"/>
      <c r="K173" s="5"/>
      <c r="L173" s="5"/>
      <c r="M173" s="5"/>
      <c r="N173" s="1"/>
      <c r="O173" s="1"/>
      <c r="P173" s="1"/>
      <c r="Q173" s="1"/>
    </row>
    <row r="174" spans="1:17" x14ac:dyDescent="0.35">
      <c r="A174" s="7" t="str">
        <f>IF(Registro_Contenedores!A174="","",Registro_Contenedores!A174)</f>
        <v/>
      </c>
      <c r="B174" s="7" t="str">
        <f>IF($A174="","",Registro_Contenedores!B174)</f>
        <v/>
      </c>
      <c r="C174" s="7" t="str">
        <f>IF($A174="","",Registro_Contenedores!E174)</f>
        <v/>
      </c>
      <c r="D174" s="7" t="str">
        <f>IF($A174="","",Registro_Contenedores!H174)</f>
        <v/>
      </c>
      <c r="E174" s="7" t="str">
        <f>IF($A174="","",Registro_Contenedores!J174)</f>
        <v/>
      </c>
      <c r="F174" s="7" t="str">
        <f>IF($A174="","",Planif_Grupasa!G174)</f>
        <v/>
      </c>
      <c r="G174" s="7" t="str">
        <f>IF($A174="","",Planif_Grupasa!I174)</f>
        <v/>
      </c>
      <c r="H174" s="7" t="str">
        <f>IF($A174="","",Planif_Galagans!I174)</f>
        <v/>
      </c>
      <c r="I174" s="7" t="str">
        <f>IF($A174="","",Registro_Contenedores!K174)</f>
        <v/>
      </c>
      <c r="J174" s="5"/>
      <c r="K174" s="5"/>
      <c r="L174" s="5"/>
      <c r="M174" s="5"/>
      <c r="N174" s="1"/>
      <c r="O174" s="1"/>
      <c r="P174" s="1"/>
      <c r="Q174" s="1"/>
    </row>
    <row r="175" spans="1:17" x14ac:dyDescent="0.35">
      <c r="A175" s="7" t="str">
        <f>IF(Registro_Contenedores!A175="","",Registro_Contenedores!A175)</f>
        <v/>
      </c>
      <c r="B175" s="7" t="str">
        <f>IF($A175="","",Registro_Contenedores!B175)</f>
        <v/>
      </c>
      <c r="C175" s="7" t="str">
        <f>IF($A175="","",Registro_Contenedores!E175)</f>
        <v/>
      </c>
      <c r="D175" s="7" t="str">
        <f>IF($A175="","",Registro_Contenedores!H175)</f>
        <v/>
      </c>
      <c r="E175" s="7" t="str">
        <f>IF($A175="","",Registro_Contenedores!J175)</f>
        <v/>
      </c>
      <c r="F175" s="7" t="str">
        <f>IF($A175="","",Planif_Grupasa!G175)</f>
        <v/>
      </c>
      <c r="G175" s="7" t="str">
        <f>IF($A175="","",Planif_Grupasa!I175)</f>
        <v/>
      </c>
      <c r="H175" s="7" t="str">
        <f>IF($A175="","",Planif_Galagans!I175)</f>
        <v/>
      </c>
      <c r="I175" s="7" t="str">
        <f>IF($A175="","",Registro_Contenedores!K175)</f>
        <v/>
      </c>
      <c r="J175" s="5"/>
      <c r="K175" s="5"/>
      <c r="L175" s="5"/>
      <c r="M175" s="5"/>
      <c r="N175" s="1"/>
      <c r="O175" s="1"/>
      <c r="P175" s="1"/>
      <c r="Q175" s="1"/>
    </row>
    <row r="176" spans="1:17" x14ac:dyDescent="0.35">
      <c r="A176" s="7" t="str">
        <f>IF(Registro_Contenedores!A176="","",Registro_Contenedores!A176)</f>
        <v/>
      </c>
      <c r="B176" s="7" t="str">
        <f>IF($A176="","",Registro_Contenedores!B176)</f>
        <v/>
      </c>
      <c r="C176" s="7" t="str">
        <f>IF($A176="","",Registro_Contenedores!E176)</f>
        <v/>
      </c>
      <c r="D176" s="7" t="str">
        <f>IF($A176="","",Registro_Contenedores!H176)</f>
        <v/>
      </c>
      <c r="E176" s="7" t="str">
        <f>IF($A176="","",Registro_Contenedores!J176)</f>
        <v/>
      </c>
      <c r="F176" s="7" t="str">
        <f>IF($A176="","",Planif_Grupasa!G176)</f>
        <v/>
      </c>
      <c r="G176" s="7" t="str">
        <f>IF($A176="","",Planif_Grupasa!I176)</f>
        <v/>
      </c>
      <c r="H176" s="7" t="str">
        <f>IF($A176="","",Planif_Galagans!I176)</f>
        <v/>
      </c>
      <c r="I176" s="7" t="str">
        <f>IF($A176="","",Registro_Contenedores!K176)</f>
        <v/>
      </c>
      <c r="J176" s="5"/>
      <c r="K176" s="5"/>
      <c r="L176" s="5"/>
      <c r="M176" s="5"/>
      <c r="N176" s="1"/>
      <c r="O176" s="1"/>
      <c r="P176" s="1"/>
      <c r="Q176" s="1"/>
    </row>
    <row r="177" spans="1:17" x14ac:dyDescent="0.35">
      <c r="A177" s="7" t="str">
        <f>IF(Registro_Contenedores!A177="","",Registro_Contenedores!A177)</f>
        <v/>
      </c>
      <c r="B177" s="7" t="str">
        <f>IF($A177="","",Registro_Contenedores!B177)</f>
        <v/>
      </c>
      <c r="C177" s="7" t="str">
        <f>IF($A177="","",Registro_Contenedores!E177)</f>
        <v/>
      </c>
      <c r="D177" s="7" t="str">
        <f>IF($A177="","",Registro_Contenedores!H177)</f>
        <v/>
      </c>
      <c r="E177" s="7" t="str">
        <f>IF($A177="","",Registro_Contenedores!J177)</f>
        <v/>
      </c>
      <c r="F177" s="7" t="str">
        <f>IF($A177="","",Planif_Grupasa!G177)</f>
        <v/>
      </c>
      <c r="G177" s="7" t="str">
        <f>IF($A177="","",Planif_Grupasa!I177)</f>
        <v/>
      </c>
      <c r="H177" s="7" t="str">
        <f>IF($A177="","",Planif_Galagans!I177)</f>
        <v/>
      </c>
      <c r="I177" s="7" t="str">
        <f>IF($A177="","",Registro_Contenedores!K177)</f>
        <v/>
      </c>
      <c r="J177" s="5"/>
      <c r="K177" s="5"/>
      <c r="L177" s="5"/>
      <c r="M177" s="5"/>
      <c r="N177" s="1"/>
      <c r="O177" s="1"/>
      <c r="P177" s="1"/>
      <c r="Q177" s="1"/>
    </row>
    <row r="178" spans="1:17" x14ac:dyDescent="0.35">
      <c r="A178" s="7" t="str">
        <f>IF(Registro_Contenedores!A178="","",Registro_Contenedores!A178)</f>
        <v/>
      </c>
      <c r="B178" s="7" t="str">
        <f>IF($A178="","",Registro_Contenedores!B178)</f>
        <v/>
      </c>
      <c r="C178" s="7" t="str">
        <f>IF($A178="","",Registro_Contenedores!E178)</f>
        <v/>
      </c>
      <c r="D178" s="7" t="str">
        <f>IF($A178="","",Registro_Contenedores!H178)</f>
        <v/>
      </c>
      <c r="E178" s="7" t="str">
        <f>IF($A178="","",Registro_Contenedores!J178)</f>
        <v/>
      </c>
      <c r="F178" s="7" t="str">
        <f>IF($A178="","",Planif_Grupasa!G178)</f>
        <v/>
      </c>
      <c r="G178" s="7" t="str">
        <f>IF($A178="","",Planif_Grupasa!I178)</f>
        <v/>
      </c>
      <c r="H178" s="7" t="str">
        <f>IF($A178="","",Planif_Galagans!I178)</f>
        <v/>
      </c>
      <c r="I178" s="7" t="str">
        <f>IF($A178="","",Registro_Contenedores!K178)</f>
        <v/>
      </c>
      <c r="J178" s="5"/>
      <c r="K178" s="5"/>
      <c r="L178" s="5"/>
      <c r="M178" s="5"/>
      <c r="N178" s="1"/>
      <c r="O178" s="1"/>
      <c r="P178" s="1"/>
      <c r="Q178" s="1"/>
    </row>
    <row r="179" spans="1:17" x14ac:dyDescent="0.35">
      <c r="A179" s="7" t="str">
        <f>IF(Registro_Contenedores!A179="","",Registro_Contenedores!A179)</f>
        <v/>
      </c>
      <c r="B179" s="7" t="str">
        <f>IF($A179="","",Registro_Contenedores!B179)</f>
        <v/>
      </c>
      <c r="C179" s="7" t="str">
        <f>IF($A179="","",Registro_Contenedores!E179)</f>
        <v/>
      </c>
      <c r="D179" s="7" t="str">
        <f>IF($A179="","",Registro_Contenedores!H179)</f>
        <v/>
      </c>
      <c r="E179" s="7" t="str">
        <f>IF($A179="","",Registro_Contenedores!J179)</f>
        <v/>
      </c>
      <c r="F179" s="7" t="str">
        <f>IF($A179="","",Planif_Grupasa!G179)</f>
        <v/>
      </c>
      <c r="G179" s="7" t="str">
        <f>IF($A179="","",Planif_Grupasa!I179)</f>
        <v/>
      </c>
      <c r="H179" s="7" t="str">
        <f>IF($A179="","",Planif_Galagans!I179)</f>
        <v/>
      </c>
      <c r="I179" s="7" t="str">
        <f>IF($A179="","",Registro_Contenedores!K179)</f>
        <v/>
      </c>
      <c r="J179" s="5"/>
      <c r="K179" s="5"/>
      <c r="L179" s="5"/>
      <c r="M179" s="5"/>
      <c r="N179" s="1"/>
      <c r="O179" s="1"/>
      <c r="P179" s="1"/>
      <c r="Q179" s="1"/>
    </row>
    <row r="180" spans="1:17" x14ac:dyDescent="0.35">
      <c r="A180" s="7" t="str">
        <f>IF(Registro_Contenedores!A180="","",Registro_Contenedores!A180)</f>
        <v/>
      </c>
      <c r="B180" s="7" t="str">
        <f>IF($A180="","",Registro_Contenedores!B180)</f>
        <v/>
      </c>
      <c r="C180" s="7" t="str">
        <f>IF($A180="","",Registro_Contenedores!E180)</f>
        <v/>
      </c>
      <c r="D180" s="7" t="str">
        <f>IF($A180="","",Registro_Contenedores!H180)</f>
        <v/>
      </c>
      <c r="E180" s="7" t="str">
        <f>IF($A180="","",Registro_Contenedores!J180)</f>
        <v/>
      </c>
      <c r="F180" s="7" t="str">
        <f>IF($A180="","",Planif_Grupasa!G180)</f>
        <v/>
      </c>
      <c r="G180" s="7" t="str">
        <f>IF($A180="","",Planif_Grupasa!I180)</f>
        <v/>
      </c>
      <c r="H180" s="7" t="str">
        <f>IF($A180="","",Planif_Galagans!I180)</f>
        <v/>
      </c>
      <c r="I180" s="7" t="str">
        <f>IF($A180="","",Registro_Contenedores!K180)</f>
        <v/>
      </c>
      <c r="J180" s="5"/>
      <c r="K180" s="5"/>
      <c r="L180" s="5"/>
      <c r="M180" s="5"/>
      <c r="N180" s="1"/>
      <c r="O180" s="1"/>
      <c r="P180" s="1"/>
      <c r="Q180" s="1"/>
    </row>
    <row r="181" spans="1:17" x14ac:dyDescent="0.35">
      <c r="A181" s="7" t="str">
        <f>IF(Registro_Contenedores!A181="","",Registro_Contenedores!A181)</f>
        <v/>
      </c>
      <c r="B181" s="7" t="str">
        <f>IF($A181="","",Registro_Contenedores!B181)</f>
        <v/>
      </c>
      <c r="C181" s="7" t="str">
        <f>IF($A181="","",Registro_Contenedores!E181)</f>
        <v/>
      </c>
      <c r="D181" s="7" t="str">
        <f>IF($A181="","",Registro_Contenedores!H181)</f>
        <v/>
      </c>
      <c r="E181" s="7" t="str">
        <f>IF($A181="","",Registro_Contenedores!J181)</f>
        <v/>
      </c>
      <c r="F181" s="7" t="str">
        <f>IF($A181="","",Planif_Grupasa!G181)</f>
        <v/>
      </c>
      <c r="G181" s="7" t="str">
        <f>IF($A181="","",Planif_Grupasa!I181)</f>
        <v/>
      </c>
      <c r="H181" s="7" t="str">
        <f>IF($A181="","",Planif_Galagans!I181)</f>
        <v/>
      </c>
      <c r="I181" s="7" t="str">
        <f>IF($A181="","",Registro_Contenedores!K181)</f>
        <v/>
      </c>
      <c r="J181" s="5"/>
      <c r="K181" s="5"/>
      <c r="L181" s="5"/>
      <c r="M181" s="5"/>
      <c r="N181" s="1"/>
      <c r="O181" s="1"/>
      <c r="P181" s="1"/>
      <c r="Q181" s="1"/>
    </row>
    <row r="182" spans="1:17" x14ac:dyDescent="0.35">
      <c r="A182" s="7" t="str">
        <f>IF(Registro_Contenedores!A182="","",Registro_Contenedores!A182)</f>
        <v/>
      </c>
      <c r="B182" s="7" t="str">
        <f>IF($A182="","",Registro_Contenedores!B182)</f>
        <v/>
      </c>
      <c r="C182" s="7" t="str">
        <f>IF($A182="","",Registro_Contenedores!E182)</f>
        <v/>
      </c>
      <c r="D182" s="7" t="str">
        <f>IF($A182="","",Registro_Contenedores!H182)</f>
        <v/>
      </c>
      <c r="E182" s="7" t="str">
        <f>IF($A182="","",Registro_Contenedores!J182)</f>
        <v/>
      </c>
      <c r="F182" s="7" t="str">
        <f>IF($A182="","",Planif_Grupasa!G182)</f>
        <v/>
      </c>
      <c r="G182" s="7" t="str">
        <f>IF($A182="","",Planif_Grupasa!I182)</f>
        <v/>
      </c>
      <c r="H182" s="7" t="str">
        <f>IF($A182="","",Planif_Galagans!I182)</f>
        <v/>
      </c>
      <c r="I182" s="7" t="str">
        <f>IF($A182="","",Registro_Contenedores!K182)</f>
        <v/>
      </c>
      <c r="J182" s="5"/>
      <c r="K182" s="5"/>
      <c r="L182" s="5"/>
      <c r="M182" s="5"/>
      <c r="N182" s="1"/>
      <c r="O182" s="1"/>
      <c r="P182" s="1"/>
      <c r="Q182" s="1"/>
    </row>
    <row r="183" spans="1:17" x14ac:dyDescent="0.35">
      <c r="A183" s="7" t="str">
        <f>IF(Registro_Contenedores!A183="","",Registro_Contenedores!A183)</f>
        <v/>
      </c>
      <c r="B183" s="7" t="str">
        <f>IF($A183="","",Registro_Contenedores!B183)</f>
        <v/>
      </c>
      <c r="C183" s="7" t="str">
        <f>IF($A183="","",Registro_Contenedores!E183)</f>
        <v/>
      </c>
      <c r="D183" s="7" t="str">
        <f>IF($A183="","",Registro_Contenedores!H183)</f>
        <v/>
      </c>
      <c r="E183" s="7" t="str">
        <f>IF($A183="","",Registro_Contenedores!J183)</f>
        <v/>
      </c>
      <c r="F183" s="7" t="str">
        <f>IF($A183="","",Planif_Grupasa!G183)</f>
        <v/>
      </c>
      <c r="G183" s="7" t="str">
        <f>IF($A183="","",Planif_Grupasa!I183)</f>
        <v/>
      </c>
      <c r="H183" s="7" t="str">
        <f>IF($A183="","",Planif_Galagans!I183)</f>
        <v/>
      </c>
      <c r="I183" s="7" t="str">
        <f>IF($A183="","",Registro_Contenedores!K183)</f>
        <v/>
      </c>
      <c r="J183" s="5"/>
      <c r="K183" s="5"/>
      <c r="L183" s="5"/>
      <c r="M183" s="5"/>
      <c r="N183" s="1"/>
      <c r="O183" s="1"/>
      <c r="P183" s="1"/>
      <c r="Q183" s="1"/>
    </row>
    <row r="184" spans="1:17" x14ac:dyDescent="0.35">
      <c r="A184" s="7" t="str">
        <f>IF(Registro_Contenedores!A184="","",Registro_Contenedores!A184)</f>
        <v/>
      </c>
      <c r="B184" s="7" t="str">
        <f>IF($A184="","",Registro_Contenedores!B184)</f>
        <v/>
      </c>
      <c r="C184" s="7" t="str">
        <f>IF($A184="","",Registro_Contenedores!E184)</f>
        <v/>
      </c>
      <c r="D184" s="7" t="str">
        <f>IF($A184="","",Registro_Contenedores!H184)</f>
        <v/>
      </c>
      <c r="E184" s="7" t="str">
        <f>IF($A184="","",Registro_Contenedores!J184)</f>
        <v/>
      </c>
      <c r="F184" s="7" t="str">
        <f>IF($A184="","",Planif_Grupasa!G184)</f>
        <v/>
      </c>
      <c r="G184" s="7" t="str">
        <f>IF($A184="","",Planif_Grupasa!I184)</f>
        <v/>
      </c>
      <c r="H184" s="7" t="str">
        <f>IF($A184="","",Planif_Galagans!I184)</f>
        <v/>
      </c>
      <c r="I184" s="7" t="str">
        <f>IF($A184="","",Registro_Contenedores!K184)</f>
        <v/>
      </c>
      <c r="J184" s="5"/>
      <c r="K184" s="5"/>
      <c r="L184" s="5"/>
      <c r="M184" s="5"/>
      <c r="N184" s="1"/>
      <c r="O184" s="1"/>
      <c r="P184" s="1"/>
      <c r="Q184" s="1"/>
    </row>
    <row r="185" spans="1:17" x14ac:dyDescent="0.35">
      <c r="A185" s="7" t="str">
        <f>IF(Registro_Contenedores!A185="","",Registro_Contenedores!A185)</f>
        <v/>
      </c>
      <c r="B185" s="7" t="str">
        <f>IF($A185="","",Registro_Contenedores!B185)</f>
        <v/>
      </c>
      <c r="C185" s="7" t="str">
        <f>IF($A185="","",Registro_Contenedores!E185)</f>
        <v/>
      </c>
      <c r="D185" s="7" t="str">
        <f>IF($A185="","",Registro_Contenedores!H185)</f>
        <v/>
      </c>
      <c r="E185" s="7" t="str">
        <f>IF($A185="","",Registro_Contenedores!J185)</f>
        <v/>
      </c>
      <c r="F185" s="7" t="str">
        <f>IF($A185="","",Planif_Grupasa!G185)</f>
        <v/>
      </c>
      <c r="G185" s="7" t="str">
        <f>IF($A185="","",Planif_Grupasa!I185)</f>
        <v/>
      </c>
      <c r="H185" s="7" t="str">
        <f>IF($A185="","",Planif_Galagans!I185)</f>
        <v/>
      </c>
      <c r="I185" s="7" t="str">
        <f>IF($A185="","",Registro_Contenedores!K185)</f>
        <v/>
      </c>
      <c r="J185" s="5"/>
      <c r="K185" s="5"/>
      <c r="L185" s="5"/>
      <c r="M185" s="5"/>
      <c r="N185" s="1"/>
      <c r="O185" s="1"/>
      <c r="P185" s="1"/>
      <c r="Q185" s="1"/>
    </row>
    <row r="186" spans="1:17" x14ac:dyDescent="0.35">
      <c r="A186" s="7" t="str">
        <f>IF(Registro_Contenedores!A186="","",Registro_Contenedores!A186)</f>
        <v/>
      </c>
      <c r="B186" s="7" t="str">
        <f>IF($A186="","",Registro_Contenedores!B186)</f>
        <v/>
      </c>
      <c r="C186" s="7" t="str">
        <f>IF($A186="","",Registro_Contenedores!E186)</f>
        <v/>
      </c>
      <c r="D186" s="7" t="str">
        <f>IF($A186="","",Registro_Contenedores!H186)</f>
        <v/>
      </c>
      <c r="E186" s="7" t="str">
        <f>IF($A186="","",Registro_Contenedores!J186)</f>
        <v/>
      </c>
      <c r="F186" s="7" t="str">
        <f>IF($A186="","",Planif_Grupasa!G186)</f>
        <v/>
      </c>
      <c r="G186" s="7" t="str">
        <f>IF($A186="","",Planif_Grupasa!I186)</f>
        <v/>
      </c>
      <c r="H186" s="7" t="str">
        <f>IF($A186="","",Planif_Galagans!I186)</f>
        <v/>
      </c>
      <c r="I186" s="7" t="str">
        <f>IF($A186="","",Registro_Contenedores!K186)</f>
        <v/>
      </c>
      <c r="J186" s="5"/>
      <c r="K186" s="5"/>
      <c r="L186" s="5"/>
      <c r="M186" s="5"/>
      <c r="N186" s="1"/>
      <c r="O186" s="1"/>
      <c r="P186" s="1"/>
      <c r="Q186" s="1"/>
    </row>
    <row r="187" spans="1:17" x14ac:dyDescent="0.35">
      <c r="A187" s="7" t="str">
        <f>IF(Registro_Contenedores!A187="","",Registro_Contenedores!A187)</f>
        <v/>
      </c>
      <c r="B187" s="7" t="str">
        <f>IF($A187="","",Registro_Contenedores!B187)</f>
        <v/>
      </c>
      <c r="C187" s="7" t="str">
        <f>IF($A187="","",Registro_Contenedores!E187)</f>
        <v/>
      </c>
      <c r="D187" s="7" t="str">
        <f>IF($A187="","",Registro_Contenedores!H187)</f>
        <v/>
      </c>
      <c r="E187" s="7" t="str">
        <f>IF($A187="","",Registro_Contenedores!J187)</f>
        <v/>
      </c>
      <c r="F187" s="7" t="str">
        <f>IF($A187="","",Planif_Grupasa!G187)</f>
        <v/>
      </c>
      <c r="G187" s="7" t="str">
        <f>IF($A187="","",Planif_Grupasa!I187)</f>
        <v/>
      </c>
      <c r="H187" s="7" t="str">
        <f>IF($A187="","",Planif_Galagans!I187)</f>
        <v/>
      </c>
      <c r="I187" s="7" t="str">
        <f>IF($A187="","",Registro_Contenedores!K187)</f>
        <v/>
      </c>
      <c r="J187" s="5"/>
      <c r="K187" s="5"/>
      <c r="L187" s="5"/>
      <c r="M187" s="5"/>
      <c r="N187" s="1"/>
      <c r="O187" s="1"/>
      <c r="P187" s="1"/>
      <c r="Q187" s="1"/>
    </row>
    <row r="188" spans="1:17" x14ac:dyDescent="0.35">
      <c r="A188" s="7" t="str">
        <f>IF(Registro_Contenedores!A188="","",Registro_Contenedores!A188)</f>
        <v/>
      </c>
      <c r="B188" s="7" t="str">
        <f>IF($A188="","",Registro_Contenedores!B188)</f>
        <v/>
      </c>
      <c r="C188" s="7" t="str">
        <f>IF($A188="","",Registro_Contenedores!E188)</f>
        <v/>
      </c>
      <c r="D188" s="7" t="str">
        <f>IF($A188="","",Registro_Contenedores!H188)</f>
        <v/>
      </c>
      <c r="E188" s="7" t="str">
        <f>IF($A188="","",Registro_Contenedores!J188)</f>
        <v/>
      </c>
      <c r="F188" s="7" t="str">
        <f>IF($A188="","",Planif_Grupasa!G188)</f>
        <v/>
      </c>
      <c r="G188" s="7" t="str">
        <f>IF($A188="","",Planif_Grupasa!I188)</f>
        <v/>
      </c>
      <c r="H188" s="7" t="str">
        <f>IF($A188="","",Planif_Galagans!I188)</f>
        <v/>
      </c>
      <c r="I188" s="7" t="str">
        <f>IF($A188="","",Registro_Contenedores!K188)</f>
        <v/>
      </c>
      <c r="J188" s="5"/>
      <c r="K188" s="5"/>
      <c r="L188" s="5"/>
      <c r="M188" s="5"/>
      <c r="N188" s="1"/>
      <c r="O188" s="1"/>
      <c r="P188" s="1"/>
      <c r="Q188" s="1"/>
    </row>
    <row r="189" spans="1:17" x14ac:dyDescent="0.35">
      <c r="A189" s="7" t="str">
        <f>IF(Registro_Contenedores!A189="","",Registro_Contenedores!A189)</f>
        <v/>
      </c>
      <c r="B189" s="7" t="str">
        <f>IF($A189="","",Registro_Contenedores!B189)</f>
        <v/>
      </c>
      <c r="C189" s="7" t="str">
        <f>IF($A189="","",Registro_Contenedores!E189)</f>
        <v/>
      </c>
      <c r="D189" s="7" t="str">
        <f>IF($A189="","",Registro_Contenedores!H189)</f>
        <v/>
      </c>
      <c r="E189" s="7" t="str">
        <f>IF($A189="","",Registro_Contenedores!J189)</f>
        <v/>
      </c>
      <c r="F189" s="7" t="str">
        <f>IF($A189="","",Planif_Grupasa!G189)</f>
        <v/>
      </c>
      <c r="G189" s="7" t="str">
        <f>IF($A189="","",Planif_Grupasa!I189)</f>
        <v/>
      </c>
      <c r="H189" s="7" t="str">
        <f>IF($A189="","",Planif_Galagans!I189)</f>
        <v/>
      </c>
      <c r="I189" s="7" t="str">
        <f>IF($A189="","",Registro_Contenedores!K189)</f>
        <v/>
      </c>
      <c r="J189" s="5"/>
      <c r="K189" s="5"/>
      <c r="L189" s="5"/>
      <c r="M189" s="5"/>
      <c r="N189" s="1"/>
      <c r="O189" s="1"/>
      <c r="P189" s="1"/>
      <c r="Q189" s="1"/>
    </row>
    <row r="190" spans="1:17" x14ac:dyDescent="0.35">
      <c r="A190" s="7" t="str">
        <f>IF(Registro_Contenedores!A190="","",Registro_Contenedores!A190)</f>
        <v/>
      </c>
      <c r="B190" s="7" t="str">
        <f>IF($A190="","",Registro_Contenedores!B190)</f>
        <v/>
      </c>
      <c r="C190" s="7" t="str">
        <f>IF($A190="","",Registro_Contenedores!E190)</f>
        <v/>
      </c>
      <c r="D190" s="7" t="str">
        <f>IF($A190="","",Registro_Contenedores!H190)</f>
        <v/>
      </c>
      <c r="E190" s="7" t="str">
        <f>IF($A190="","",Registro_Contenedores!J190)</f>
        <v/>
      </c>
      <c r="F190" s="7" t="str">
        <f>IF($A190="","",Planif_Grupasa!G190)</f>
        <v/>
      </c>
      <c r="G190" s="7" t="str">
        <f>IF($A190="","",Planif_Grupasa!I190)</f>
        <v/>
      </c>
      <c r="H190" s="7" t="str">
        <f>IF($A190="","",Planif_Galagans!I190)</f>
        <v/>
      </c>
      <c r="I190" s="7" t="str">
        <f>IF($A190="","",Registro_Contenedores!K190)</f>
        <v/>
      </c>
      <c r="J190" s="5"/>
      <c r="K190" s="5"/>
      <c r="L190" s="5"/>
      <c r="M190" s="5"/>
      <c r="N190" s="1"/>
      <c r="O190" s="1"/>
      <c r="P190" s="1"/>
      <c r="Q190" s="1"/>
    </row>
    <row r="191" spans="1:17" x14ac:dyDescent="0.35">
      <c r="A191" s="7" t="str">
        <f>IF(Registro_Contenedores!A191="","",Registro_Contenedores!A191)</f>
        <v/>
      </c>
      <c r="B191" s="7" t="str">
        <f>IF($A191="","",Registro_Contenedores!B191)</f>
        <v/>
      </c>
      <c r="C191" s="7" t="str">
        <f>IF($A191="","",Registro_Contenedores!E191)</f>
        <v/>
      </c>
      <c r="D191" s="7" t="str">
        <f>IF($A191="","",Registro_Contenedores!H191)</f>
        <v/>
      </c>
      <c r="E191" s="7" t="str">
        <f>IF($A191="","",Registro_Contenedores!J191)</f>
        <v/>
      </c>
      <c r="F191" s="7" t="str">
        <f>IF($A191="","",Planif_Grupasa!G191)</f>
        <v/>
      </c>
      <c r="G191" s="7" t="str">
        <f>IF($A191="","",Planif_Grupasa!I191)</f>
        <v/>
      </c>
      <c r="H191" s="7" t="str">
        <f>IF($A191="","",Planif_Galagans!I191)</f>
        <v/>
      </c>
      <c r="I191" s="7" t="str">
        <f>IF($A191="","",Registro_Contenedores!K191)</f>
        <v/>
      </c>
      <c r="J191" s="5"/>
      <c r="K191" s="5"/>
      <c r="L191" s="5"/>
      <c r="M191" s="5"/>
      <c r="N191" s="1"/>
      <c r="O191" s="1"/>
      <c r="P191" s="1"/>
      <c r="Q191" s="1"/>
    </row>
    <row r="192" spans="1:17" x14ac:dyDescent="0.35">
      <c r="A192" s="7" t="str">
        <f>IF(Registro_Contenedores!A192="","",Registro_Contenedores!A192)</f>
        <v/>
      </c>
      <c r="B192" s="7" t="str">
        <f>IF($A192="","",Registro_Contenedores!B192)</f>
        <v/>
      </c>
      <c r="C192" s="7" t="str">
        <f>IF($A192="","",Registro_Contenedores!E192)</f>
        <v/>
      </c>
      <c r="D192" s="7" t="str">
        <f>IF($A192="","",Registro_Contenedores!H192)</f>
        <v/>
      </c>
      <c r="E192" s="7" t="str">
        <f>IF($A192="","",Registro_Contenedores!J192)</f>
        <v/>
      </c>
      <c r="F192" s="7" t="str">
        <f>IF($A192="","",Planif_Grupasa!G192)</f>
        <v/>
      </c>
      <c r="G192" s="7" t="str">
        <f>IF($A192="","",Planif_Grupasa!I192)</f>
        <v/>
      </c>
      <c r="H192" s="7" t="str">
        <f>IF($A192="","",Planif_Galagans!I192)</f>
        <v/>
      </c>
      <c r="I192" s="7" t="str">
        <f>IF($A192="","",Registro_Contenedores!K192)</f>
        <v/>
      </c>
      <c r="J192" s="5"/>
      <c r="K192" s="5"/>
      <c r="L192" s="5"/>
      <c r="M192" s="5"/>
      <c r="N192" s="1"/>
      <c r="O192" s="1"/>
      <c r="P192" s="1"/>
      <c r="Q192" s="1"/>
    </row>
    <row r="193" spans="1:17" x14ac:dyDescent="0.35">
      <c r="A193" s="7" t="str">
        <f>IF(Registro_Contenedores!A193="","",Registro_Contenedores!A193)</f>
        <v/>
      </c>
      <c r="B193" s="7" t="str">
        <f>IF($A193="","",Registro_Contenedores!B193)</f>
        <v/>
      </c>
      <c r="C193" s="7" t="str">
        <f>IF($A193="","",Registro_Contenedores!E193)</f>
        <v/>
      </c>
      <c r="D193" s="7" t="str">
        <f>IF($A193="","",Registro_Contenedores!H193)</f>
        <v/>
      </c>
      <c r="E193" s="7" t="str">
        <f>IF($A193="","",Registro_Contenedores!J193)</f>
        <v/>
      </c>
      <c r="F193" s="7" t="str">
        <f>IF($A193="","",Planif_Grupasa!G193)</f>
        <v/>
      </c>
      <c r="G193" s="7" t="str">
        <f>IF($A193="","",Planif_Grupasa!I193)</f>
        <v/>
      </c>
      <c r="H193" s="7" t="str">
        <f>IF($A193="","",Planif_Galagans!I193)</f>
        <v/>
      </c>
      <c r="I193" s="7" t="str">
        <f>IF($A193="","",Registro_Contenedores!K193)</f>
        <v/>
      </c>
      <c r="J193" s="5"/>
      <c r="K193" s="5"/>
      <c r="L193" s="5"/>
      <c r="M193" s="5"/>
      <c r="N193" s="1"/>
      <c r="O193" s="1"/>
      <c r="P193" s="1"/>
      <c r="Q193" s="1"/>
    </row>
    <row r="194" spans="1:17" x14ac:dyDescent="0.35">
      <c r="A194" s="7" t="str">
        <f>IF(Registro_Contenedores!A194="","",Registro_Contenedores!A194)</f>
        <v/>
      </c>
      <c r="B194" s="7" t="str">
        <f>IF($A194="","",Registro_Contenedores!B194)</f>
        <v/>
      </c>
      <c r="C194" s="7" t="str">
        <f>IF($A194="","",Registro_Contenedores!E194)</f>
        <v/>
      </c>
      <c r="D194" s="7" t="str">
        <f>IF($A194="","",Registro_Contenedores!H194)</f>
        <v/>
      </c>
      <c r="E194" s="7" t="str">
        <f>IF($A194="","",Registro_Contenedores!J194)</f>
        <v/>
      </c>
      <c r="F194" s="7" t="str">
        <f>IF($A194="","",Planif_Grupasa!G194)</f>
        <v/>
      </c>
      <c r="G194" s="7" t="str">
        <f>IF($A194="","",Planif_Grupasa!I194)</f>
        <v/>
      </c>
      <c r="H194" s="7" t="str">
        <f>IF($A194="","",Planif_Galagans!I194)</f>
        <v/>
      </c>
      <c r="I194" s="7" t="str">
        <f>IF($A194="","",Registro_Contenedores!K194)</f>
        <v/>
      </c>
      <c r="J194" s="5"/>
      <c r="K194" s="5"/>
      <c r="L194" s="5"/>
      <c r="M194" s="5"/>
      <c r="N194" s="1"/>
      <c r="O194" s="1"/>
      <c r="P194" s="1"/>
      <c r="Q194" s="1"/>
    </row>
    <row r="195" spans="1:17" x14ac:dyDescent="0.35">
      <c r="A195" s="7" t="str">
        <f>IF(Registro_Contenedores!A195="","",Registro_Contenedores!A195)</f>
        <v/>
      </c>
      <c r="B195" s="7" t="str">
        <f>IF($A195="","",Registro_Contenedores!B195)</f>
        <v/>
      </c>
      <c r="C195" s="7" t="str">
        <f>IF($A195="","",Registro_Contenedores!E195)</f>
        <v/>
      </c>
      <c r="D195" s="7" t="str">
        <f>IF($A195="","",Registro_Contenedores!H195)</f>
        <v/>
      </c>
      <c r="E195" s="7" t="str">
        <f>IF($A195="","",Registro_Contenedores!J195)</f>
        <v/>
      </c>
      <c r="F195" s="7" t="str">
        <f>IF($A195="","",Planif_Grupasa!G195)</f>
        <v/>
      </c>
      <c r="G195" s="7" t="str">
        <f>IF($A195="","",Planif_Grupasa!I195)</f>
        <v/>
      </c>
      <c r="H195" s="7" t="str">
        <f>IF($A195="","",Planif_Galagans!I195)</f>
        <v/>
      </c>
      <c r="I195" s="7" t="str">
        <f>IF($A195="","",Registro_Contenedores!K195)</f>
        <v/>
      </c>
      <c r="J195" s="5"/>
      <c r="K195" s="5"/>
      <c r="L195" s="5"/>
      <c r="M195" s="5"/>
      <c r="N195" s="1"/>
      <c r="O195" s="1"/>
      <c r="P195" s="1"/>
      <c r="Q195" s="1"/>
    </row>
    <row r="196" spans="1:17" x14ac:dyDescent="0.35">
      <c r="A196" s="7" t="str">
        <f>IF(Registro_Contenedores!A196="","",Registro_Contenedores!A196)</f>
        <v/>
      </c>
      <c r="B196" s="7" t="str">
        <f>IF($A196="","",Registro_Contenedores!B196)</f>
        <v/>
      </c>
      <c r="C196" s="7" t="str">
        <f>IF($A196="","",Registro_Contenedores!E196)</f>
        <v/>
      </c>
      <c r="D196" s="7" t="str">
        <f>IF($A196="","",Registro_Contenedores!H196)</f>
        <v/>
      </c>
      <c r="E196" s="7" t="str">
        <f>IF($A196="","",Registro_Contenedores!J196)</f>
        <v/>
      </c>
      <c r="F196" s="7" t="str">
        <f>IF($A196="","",Planif_Grupasa!G196)</f>
        <v/>
      </c>
      <c r="G196" s="7" t="str">
        <f>IF($A196="","",Planif_Grupasa!I196)</f>
        <v/>
      </c>
      <c r="H196" s="7" t="str">
        <f>IF($A196="","",Planif_Galagans!I196)</f>
        <v/>
      </c>
      <c r="I196" s="7" t="str">
        <f>IF($A196="","",Registro_Contenedores!K196)</f>
        <v/>
      </c>
      <c r="J196" s="5"/>
      <c r="K196" s="5"/>
      <c r="L196" s="5"/>
      <c r="M196" s="5"/>
      <c r="N196" s="1"/>
      <c r="O196" s="1"/>
      <c r="P196" s="1"/>
      <c r="Q196" s="1"/>
    </row>
    <row r="197" spans="1:17" x14ac:dyDescent="0.35">
      <c r="A197" s="7" t="str">
        <f>IF(Registro_Contenedores!A197="","",Registro_Contenedores!A197)</f>
        <v/>
      </c>
      <c r="B197" s="7" t="str">
        <f>IF($A197="","",Registro_Contenedores!B197)</f>
        <v/>
      </c>
      <c r="C197" s="7" t="str">
        <f>IF($A197="","",Registro_Contenedores!E197)</f>
        <v/>
      </c>
      <c r="D197" s="7" t="str">
        <f>IF($A197="","",Registro_Contenedores!H197)</f>
        <v/>
      </c>
      <c r="E197" s="7" t="str">
        <f>IF($A197="","",Registro_Contenedores!J197)</f>
        <v/>
      </c>
      <c r="F197" s="7" t="str">
        <f>IF($A197="","",Planif_Grupasa!G197)</f>
        <v/>
      </c>
      <c r="G197" s="7" t="str">
        <f>IF($A197="","",Planif_Grupasa!I197)</f>
        <v/>
      </c>
      <c r="H197" s="7" t="str">
        <f>IF($A197="","",Planif_Galagans!I197)</f>
        <v/>
      </c>
      <c r="I197" s="7" t="str">
        <f>IF($A197="","",Registro_Contenedores!K197)</f>
        <v/>
      </c>
      <c r="J197" s="5"/>
      <c r="K197" s="5"/>
      <c r="L197" s="5"/>
      <c r="M197" s="5"/>
      <c r="N197" s="1"/>
      <c r="O197" s="1"/>
      <c r="P197" s="1"/>
      <c r="Q197" s="1"/>
    </row>
    <row r="198" spans="1:17" x14ac:dyDescent="0.35">
      <c r="A198" s="7" t="str">
        <f>IF(Registro_Contenedores!A198="","",Registro_Contenedores!A198)</f>
        <v/>
      </c>
      <c r="B198" s="7" t="str">
        <f>IF($A198="","",Registro_Contenedores!B198)</f>
        <v/>
      </c>
      <c r="C198" s="7" t="str">
        <f>IF($A198="","",Registro_Contenedores!E198)</f>
        <v/>
      </c>
      <c r="D198" s="7" t="str">
        <f>IF($A198="","",Registro_Contenedores!H198)</f>
        <v/>
      </c>
      <c r="E198" s="7" t="str">
        <f>IF($A198="","",Registro_Contenedores!J198)</f>
        <v/>
      </c>
      <c r="F198" s="7" t="str">
        <f>IF($A198="","",Planif_Grupasa!G198)</f>
        <v/>
      </c>
      <c r="G198" s="7" t="str">
        <f>IF($A198="","",Planif_Grupasa!I198)</f>
        <v/>
      </c>
      <c r="H198" s="7" t="str">
        <f>IF($A198="","",Planif_Galagans!I198)</f>
        <v/>
      </c>
      <c r="I198" s="7" t="str">
        <f>IF($A198="","",Registro_Contenedores!K198)</f>
        <v/>
      </c>
      <c r="J198" s="5"/>
      <c r="K198" s="5"/>
      <c r="L198" s="5"/>
      <c r="M198" s="5"/>
      <c r="N198" s="1"/>
      <c r="O198" s="1"/>
      <c r="P198" s="1"/>
      <c r="Q198" s="1"/>
    </row>
    <row r="199" spans="1:17" x14ac:dyDescent="0.35">
      <c r="A199" s="7" t="str">
        <f>IF(Registro_Contenedores!A199="","",Registro_Contenedores!A199)</f>
        <v/>
      </c>
      <c r="B199" s="7" t="str">
        <f>IF($A199="","",Registro_Contenedores!B199)</f>
        <v/>
      </c>
      <c r="C199" s="7" t="str">
        <f>IF($A199="","",Registro_Contenedores!E199)</f>
        <v/>
      </c>
      <c r="D199" s="7" t="str">
        <f>IF($A199="","",Registro_Contenedores!H199)</f>
        <v/>
      </c>
      <c r="E199" s="7" t="str">
        <f>IF($A199="","",Registro_Contenedores!J199)</f>
        <v/>
      </c>
      <c r="F199" s="7" t="str">
        <f>IF($A199="","",Planif_Grupasa!G199)</f>
        <v/>
      </c>
      <c r="G199" s="7" t="str">
        <f>IF($A199="","",Planif_Grupasa!I199)</f>
        <v/>
      </c>
      <c r="H199" s="7" t="str">
        <f>IF($A199="","",Planif_Galagans!I199)</f>
        <v/>
      </c>
      <c r="I199" s="7" t="str">
        <f>IF($A199="","",Registro_Contenedores!K199)</f>
        <v/>
      </c>
      <c r="J199" s="5"/>
      <c r="K199" s="5"/>
      <c r="L199" s="5"/>
      <c r="M199" s="5"/>
      <c r="N199" s="1"/>
      <c r="O199" s="1"/>
      <c r="P199" s="1"/>
      <c r="Q199" s="1"/>
    </row>
    <row r="200" spans="1:17" x14ac:dyDescent="0.35">
      <c r="A200" s="7" t="str">
        <f>IF(Registro_Contenedores!A200="","",Registro_Contenedores!A200)</f>
        <v/>
      </c>
      <c r="B200" s="7" t="str">
        <f>IF($A200="","",Registro_Contenedores!B200)</f>
        <v/>
      </c>
      <c r="C200" s="7" t="str">
        <f>IF($A200="","",Registro_Contenedores!E200)</f>
        <v/>
      </c>
      <c r="D200" s="7" t="str">
        <f>IF($A200="","",Registro_Contenedores!H200)</f>
        <v/>
      </c>
      <c r="E200" s="7" t="str">
        <f>IF($A200="","",Registro_Contenedores!J200)</f>
        <v/>
      </c>
      <c r="F200" s="7" t="str">
        <f>IF($A200="","",Planif_Grupasa!G200)</f>
        <v/>
      </c>
      <c r="G200" s="7" t="str">
        <f>IF($A200="","",Planif_Grupasa!I200)</f>
        <v/>
      </c>
      <c r="H200" s="7" t="str">
        <f>IF($A200="","",Planif_Galagans!I200)</f>
        <v/>
      </c>
      <c r="I200" s="7" t="str">
        <f>IF($A200="","",Registro_Contenedores!K200)</f>
        <v/>
      </c>
      <c r="J200" s="5"/>
      <c r="K200" s="5"/>
      <c r="L200" s="5"/>
      <c r="M200" s="5"/>
      <c r="N200" s="1"/>
      <c r="O200" s="1"/>
      <c r="P200" s="1"/>
      <c r="Q200" s="1"/>
    </row>
    <row r="201" spans="1:17" x14ac:dyDescent="0.35">
      <c r="A201" s="7" t="str">
        <f>IF(Registro_Contenedores!A201="","",Registro_Contenedores!A201)</f>
        <v/>
      </c>
      <c r="B201" s="7" t="str">
        <f>IF($A201="","",Registro_Contenedores!B201)</f>
        <v/>
      </c>
      <c r="C201" s="7" t="str">
        <f>IF($A201="","",Registro_Contenedores!E201)</f>
        <v/>
      </c>
      <c r="D201" s="7" t="str">
        <f>IF($A201="","",Registro_Contenedores!H201)</f>
        <v/>
      </c>
      <c r="E201" s="7" t="str">
        <f>IF($A201="","",Registro_Contenedores!J201)</f>
        <v/>
      </c>
      <c r="F201" s="7" t="str">
        <f>IF($A201="","",Planif_Grupasa!G201)</f>
        <v/>
      </c>
      <c r="G201" s="7" t="str">
        <f>IF($A201="","",Planif_Grupasa!I201)</f>
        <v/>
      </c>
      <c r="H201" s="7" t="str">
        <f>IF($A201="","",Planif_Galagans!I201)</f>
        <v/>
      </c>
      <c r="I201" s="7" t="str">
        <f>IF($A201="","",Registro_Contenedores!K201)</f>
        <v/>
      </c>
      <c r="J201" s="5"/>
      <c r="K201" s="5"/>
      <c r="L201" s="5"/>
      <c r="M201" s="5"/>
      <c r="N201" s="1"/>
      <c r="O201" s="1"/>
      <c r="P201" s="1"/>
      <c r="Q201" s="1"/>
    </row>
    <row r="202" spans="1:17" x14ac:dyDescent="0.35">
      <c r="A202" s="7" t="str">
        <f>IF(Registro_Contenedores!A202="","",Registro_Contenedores!A202)</f>
        <v/>
      </c>
      <c r="B202" s="7" t="str">
        <f>IF($A202="","",Registro_Contenedores!B202)</f>
        <v/>
      </c>
      <c r="C202" s="7" t="str">
        <f>IF($A202="","",Registro_Contenedores!E202)</f>
        <v/>
      </c>
      <c r="D202" s="7" t="str">
        <f>IF($A202="","",Registro_Contenedores!H202)</f>
        <v/>
      </c>
      <c r="E202" s="7" t="str">
        <f>IF($A202="","",Registro_Contenedores!J202)</f>
        <v/>
      </c>
      <c r="F202" s="7" t="str">
        <f>IF($A202="","",Planif_Grupasa!G202)</f>
        <v/>
      </c>
      <c r="G202" s="7" t="str">
        <f>IF($A202="","",Planif_Grupasa!I202)</f>
        <v/>
      </c>
      <c r="H202" s="7" t="str">
        <f>IF($A202="","",Planif_Galagans!I202)</f>
        <v/>
      </c>
      <c r="I202" s="7" t="str">
        <f>IF($A202="","",Registro_Contenedores!K202)</f>
        <v/>
      </c>
      <c r="J202" s="5"/>
      <c r="K202" s="5"/>
      <c r="L202" s="5"/>
      <c r="M202" s="5"/>
      <c r="N202" s="1"/>
      <c r="O202" s="1"/>
      <c r="P202" s="1"/>
      <c r="Q202" s="1"/>
    </row>
    <row r="203" spans="1:17" x14ac:dyDescent="0.35">
      <c r="A203" s="7" t="str">
        <f>IF(Registro_Contenedores!A203="","",Registro_Contenedores!A203)</f>
        <v/>
      </c>
      <c r="B203" s="7" t="str">
        <f>IF($A203="","",Registro_Contenedores!B203)</f>
        <v/>
      </c>
      <c r="C203" s="7" t="str">
        <f>IF($A203="","",Registro_Contenedores!E203)</f>
        <v/>
      </c>
      <c r="D203" s="7" t="str">
        <f>IF($A203="","",Registro_Contenedores!H203)</f>
        <v/>
      </c>
      <c r="E203" s="7" t="str">
        <f>IF($A203="","",Registro_Contenedores!J203)</f>
        <v/>
      </c>
      <c r="F203" s="7" t="str">
        <f>IF($A203="","",Planif_Grupasa!G203)</f>
        <v/>
      </c>
      <c r="G203" s="7" t="str">
        <f>IF($A203="","",Planif_Grupasa!I203)</f>
        <v/>
      </c>
      <c r="H203" s="7" t="str">
        <f>IF($A203="","",Planif_Galagans!I203)</f>
        <v/>
      </c>
      <c r="I203" s="7" t="str">
        <f>IF($A203="","",Registro_Contenedores!K203)</f>
        <v/>
      </c>
      <c r="J203" s="5"/>
      <c r="K203" s="5"/>
      <c r="L203" s="5"/>
      <c r="M203" s="5"/>
      <c r="N203" s="1"/>
      <c r="O203" s="1"/>
      <c r="P203" s="1"/>
      <c r="Q203" s="1"/>
    </row>
    <row r="204" spans="1:17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</sheetData>
  <sheetProtection password="C18C" sheet="1"/>
  <mergeCells count="1">
    <mergeCell ref="A1:M1"/>
  </mergeCells>
  <dataValidations count="1">
    <dataValidation type="time" allowBlank="1" sqref="K4:K203" xr:uid="{00000000-0002-0000-0500-000002000000}">
      <formula1>TIME(0,0,0)</formula1>
      <formula2>TIME(23,59,59)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1000000}">
          <x14:formula1>
            <xm:f>Catalogos!$D$4:$D$9</xm:f>
          </x14:formula1>
          <xm:sqref>L4:L203</xm:sqref>
        </x14:dataValidation>
        <x14:dataValidation type="list" xr:uid="{00000000-0002-0000-0500-000000000000}">
          <x14:formula1>
            <xm:f>Catalogos!$C$4:$C$7</xm:f>
          </x14:formula1>
          <xm:sqref>J4:J203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03"/>
  <sheetViews>
    <sheetView showGridLines="0" workbookViewId="0">
      <pane ySplit="3" topLeftCell="A4" activePane="bottomLeft" state="frozen"/>
      <selection pane="bottomLeft" sqref="A1:M1"/>
    </sheetView>
  </sheetViews>
  <sheetFormatPr baseColWidth="10" defaultColWidth="8.7265625" defaultRowHeight="14.5" x14ac:dyDescent="0.35"/>
  <cols>
    <col min="1" max="12" width="16" customWidth="1"/>
    <col min="13" max="13" width="28" customWidth="1"/>
  </cols>
  <sheetData>
    <row r="1" spans="1:14" ht="22" customHeight="1" x14ac:dyDescent="0.35">
      <c r="A1" s="15" t="s">
        <v>111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3" t="s">
        <v>112</v>
      </c>
      <c r="B3" s="3" t="s">
        <v>48</v>
      </c>
      <c r="C3" s="3" t="s">
        <v>49</v>
      </c>
      <c r="D3" s="3" t="s">
        <v>52</v>
      </c>
      <c r="E3" s="3" t="s">
        <v>55</v>
      </c>
      <c r="F3" s="3" t="s">
        <v>58</v>
      </c>
      <c r="G3" s="3" t="s">
        <v>18</v>
      </c>
      <c r="H3" s="3" t="s">
        <v>83</v>
      </c>
      <c r="I3" s="3" t="s">
        <v>85</v>
      </c>
      <c r="J3" s="3" t="s">
        <v>96</v>
      </c>
      <c r="K3" s="3" t="s">
        <v>97</v>
      </c>
      <c r="L3" s="3" t="s">
        <v>103</v>
      </c>
      <c r="M3" s="3" t="s">
        <v>104</v>
      </c>
      <c r="N3" s="1"/>
    </row>
    <row r="4" spans="1:14" x14ac:dyDescent="0.35">
      <c r="A4" s="12">
        <v>46116</v>
      </c>
      <c r="B4" s="1" t="s">
        <v>59</v>
      </c>
      <c r="C4" s="1" t="s">
        <v>60</v>
      </c>
      <c r="D4" s="1" t="s">
        <v>35</v>
      </c>
      <c r="E4" s="1" t="s">
        <v>22</v>
      </c>
      <c r="F4" s="1" t="s">
        <v>33</v>
      </c>
      <c r="G4" s="1" t="s">
        <v>24</v>
      </c>
      <c r="H4" s="12">
        <v>46119</v>
      </c>
      <c r="I4" s="13" t="s">
        <v>87</v>
      </c>
      <c r="J4" s="12">
        <v>46117</v>
      </c>
      <c r="K4" s="12">
        <v>46124</v>
      </c>
      <c r="L4" s="13"/>
      <c r="M4" s="1" t="s">
        <v>113</v>
      </c>
      <c r="N4" s="1"/>
    </row>
    <row r="5" spans="1:14" x14ac:dyDescent="0.35">
      <c r="A5" s="12">
        <v>46118</v>
      </c>
      <c r="B5" s="1" t="s">
        <v>59</v>
      </c>
      <c r="C5" s="1" t="s">
        <v>60</v>
      </c>
      <c r="D5" s="1" t="s">
        <v>35</v>
      </c>
      <c r="E5" s="1" t="s">
        <v>22</v>
      </c>
      <c r="F5" s="1" t="s">
        <v>33</v>
      </c>
      <c r="G5" s="1" t="s">
        <v>30</v>
      </c>
      <c r="H5" s="12">
        <v>46119</v>
      </c>
      <c r="I5" s="13" t="s">
        <v>87</v>
      </c>
      <c r="J5" s="12">
        <v>46117</v>
      </c>
      <c r="K5" s="12">
        <v>46124</v>
      </c>
      <c r="L5" s="13"/>
      <c r="M5" s="1" t="s">
        <v>114</v>
      </c>
      <c r="N5" s="1"/>
    </row>
    <row r="6" spans="1:14" x14ac:dyDescent="0.35">
      <c r="A6" s="12">
        <v>46120</v>
      </c>
      <c r="B6" s="1" t="s">
        <v>68</v>
      </c>
      <c r="C6" s="1" t="s">
        <v>69</v>
      </c>
      <c r="D6" s="1" t="s">
        <v>35</v>
      </c>
      <c r="E6" s="1" t="s">
        <v>34</v>
      </c>
      <c r="F6" s="1" t="s">
        <v>38</v>
      </c>
      <c r="G6" s="1" t="s">
        <v>44</v>
      </c>
      <c r="H6" s="12">
        <v>46121</v>
      </c>
      <c r="I6" s="13" t="s">
        <v>90</v>
      </c>
      <c r="J6" s="12">
        <v>46119</v>
      </c>
      <c r="K6" s="12">
        <v>46126</v>
      </c>
      <c r="L6" s="13" t="s">
        <v>107</v>
      </c>
      <c r="M6" s="1" t="s">
        <v>115</v>
      </c>
      <c r="N6" s="1"/>
    </row>
    <row r="7" spans="1:14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</sheetData>
  <sheetProtection password="C18C" sheet="1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06"/>
  <sheetViews>
    <sheetView showGridLines="0" zoomScale="74" workbookViewId="0">
      <pane ySplit="7" topLeftCell="A8" activePane="bottomLeft" state="frozen"/>
      <selection pane="bottomLeft" activeCell="H8" sqref="H8"/>
    </sheetView>
  </sheetViews>
  <sheetFormatPr baseColWidth="10" defaultColWidth="8.7265625" defaultRowHeight="14.5" x14ac:dyDescent="0.35"/>
  <cols>
    <col min="1" max="1" width="18" customWidth="1"/>
    <col min="2" max="4" width="24" customWidth="1"/>
    <col min="5" max="5" width="30" customWidth="1"/>
    <col min="6" max="6" width="14" customWidth="1"/>
    <col min="7" max="7" width="12" customWidth="1"/>
    <col min="8" max="8" width="50" customWidth="1"/>
  </cols>
  <sheetData>
    <row r="1" spans="1:8" ht="22" customHeight="1" x14ac:dyDescent="0.35">
      <c r="A1" s="15" t="s">
        <v>116</v>
      </c>
      <c r="B1" s="16"/>
      <c r="C1" s="16"/>
      <c r="D1" s="16"/>
      <c r="E1" s="16"/>
      <c r="F1" s="16"/>
      <c r="G1" s="16"/>
      <c r="H1" s="16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2" t="s">
        <v>117</v>
      </c>
      <c r="B3" s="1" t="str">
        <f ca="1">IF(COUNTIF($G$8:$G$207,"ERROR")&gt;0,"🔴 ERRORES DETECTADOS","🟢 ARCHIVO OK")</f>
        <v>🔴 ERRORES DETECTADOS</v>
      </c>
      <c r="C3" s="1"/>
      <c r="D3" s="1"/>
      <c r="E3" s="1"/>
      <c r="F3" s="1"/>
      <c r="G3" s="1"/>
      <c r="H3" s="1"/>
    </row>
    <row r="4" spans="1:8" x14ac:dyDescent="0.35">
      <c r="A4" s="2" t="s">
        <v>118</v>
      </c>
      <c r="B4" s="1">
        <f ca="1">COUNTIF($G$8:$G$207,"ERROR")</f>
        <v>1</v>
      </c>
      <c r="C4" s="1"/>
      <c r="D4" s="1"/>
      <c r="E4" s="1"/>
      <c r="F4" s="1"/>
      <c r="G4" s="1"/>
      <c r="H4" s="1"/>
    </row>
    <row r="5" spans="1:8" x14ac:dyDescent="0.35">
      <c r="A5" s="2" t="s">
        <v>119</v>
      </c>
      <c r="B5" s="1">
        <f ca="1">COUNTIF($F$8:$F$207,"⚠️ ALERTA CAS")</f>
        <v>0</v>
      </c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3" t="s">
        <v>48</v>
      </c>
      <c r="B7" s="3" t="s">
        <v>120</v>
      </c>
      <c r="C7" s="3" t="s">
        <v>121</v>
      </c>
      <c r="D7" s="3" t="s">
        <v>122</v>
      </c>
      <c r="E7" s="3" t="s">
        <v>123</v>
      </c>
      <c r="F7" s="3" t="s">
        <v>124</v>
      </c>
      <c r="G7" s="3" t="s">
        <v>125</v>
      </c>
      <c r="H7" s="3" t="s">
        <v>126</v>
      </c>
    </row>
    <row r="8" spans="1:8" x14ac:dyDescent="0.35">
      <c r="A8" s="1" t="str">
        <f>Registro_Contenedores!A4</f>
        <v>MSCU4510021</v>
      </c>
      <c r="B8" s="1" t="str">
        <f ca="1">IFERROR(IF(A8="","",_xludf.TEXTJOIN(" | ",TRUE,IF(Registro_Contenedores!J4="","Falta Fecha_CAS",""),IF(Registro_Contenedores!K4="","Falta Deposito_Vacio",""))),"OK")</f>
        <v>OK</v>
      </c>
      <c r="C8" s="1" t="str">
        <f ca="1">IFERROR(IF(A8="","",_xludf.TEXTJOIN(" | ",TRUE,IF(Planif_Grupasa!G4="","Falta Plan_Llegada_Grupasa",""),IF(Planif_Grupasa!H4="","Falta Bodega",""),IF(Planif_Grupasa!I4="","Falta Hora_Descarga",""))),"OK")</f>
        <v>OK</v>
      </c>
      <c r="D8" s="1" t="str">
        <f ca="1">IFERROR(IF(A8="","",_xludf.TEXTJOIN(" | ",TRUE,IF(Planif_Galagans!H4="","Falta Plan_Llegada_Patio",""),IF(Planif_Galagans!I4="","Falta Plan_Devolucion_Vacio",""))),"OK")</f>
        <v>OK</v>
      </c>
      <c r="E8" s="1" t="str">
        <f ca="1">IFERROR(IF(A8="","",_xludf.TEXTJOIN(" | ",TRUE,IF(Status_Operativo!J4="","Falta Status_Actual",""),IF(AND(Status_Operativo!J4="ENTREGADO",Status_Operativo!K4=""),"Falta Horario_Entrega_Real",""),IF(AND(Status_Operativo!J4&lt;&gt;"ENTREGADO",Status_Operativo!K4&lt;&gt;""),"Horario_Entrega_Real solo aplica con status ENTREGADO",""))),"OK")</f>
        <v>OK</v>
      </c>
      <c r="F8" s="1" t="str">
        <f ca="1">IF(A8="","",IF(AND(Status_Operativo!J4="EN PUERTO",Registro_Contenedores!J4-TODAY()&lt;=3,Registro_Contenedores!J4&gt;=TODAY()),"⚠️ ALERTA CAS",""))</f>
        <v/>
      </c>
      <c r="G8" s="1" t="str">
        <f ca="1">IF(A8="","",IF(LEN(B8&amp;C8&amp;D8&amp;E8)&gt;0,"ERROR","OK"))</f>
        <v>ERROR</v>
      </c>
      <c r="H8" s="1" t="e">
        <f ca="1">IF(A8="","",_xludf.TEXTJOIN(" | ",TRUE,B8,C8,D8,E8,F8))</f>
        <v>#NAME?</v>
      </c>
    </row>
    <row r="9" spans="1:8" x14ac:dyDescent="0.35">
      <c r="A9" s="1" t="str">
        <f>Registro_Contenedores!A5</f>
        <v>CMAU3381450</v>
      </c>
      <c r="B9" s="1" t="e">
        <f ca="1">IF(A9="","",_xludf.TEXTJOIN(" | ",TRUE,IF(Registro_Contenedores!J5="","Falta Fecha_CAS",""),IF(Registro_Contenedores!K5="","Falta Deposito_Vacio","")))</f>
        <v>#NAME?</v>
      </c>
      <c r="C9" s="1" t="e">
        <f ca="1">IF(A9="","",_xludf.TEXTJOIN(" | ",TRUE,IF(Planif_Grupasa!G5="","Falta Plan_Llegada_Grupasa",""),IF(Planif_Grupasa!H5="","Falta Bodega",""),IF(Planif_Grupasa!I5="","Falta Hora_Descarga","")))</f>
        <v>#NAME?</v>
      </c>
      <c r="D9" s="1" t="e">
        <f ca="1">IF(A9="","",_xludf.TEXTJOIN(" | ",TRUE,IF(Planif_Galagans!H5="","Falta Plan_Llegada_Patio",""),IF(Planif_Galagans!I5="","Falta Plan_Devolucion_Vacio","")))</f>
        <v>#NAME?</v>
      </c>
      <c r="E9" s="1" t="e">
        <f ca="1">IF(A9="","",_xludf.TEXTJOIN(" | ",TRUE,IF(Status_Operativo!J5="","Falta Status_Actual",""),IF(AND(Status_Operativo!J5="ENTREGADO",Status_Operativo!K5=""),"Falta Horario_Entrega_Real",""),IF(AND(Status_Operativo!J5&lt;&gt;"ENTREGADO",Status_Operativo!K5&lt;&gt;""),"Horario_Entrega_Real solo aplica con status ENTREGADO","")))</f>
        <v>#NAME?</v>
      </c>
      <c r="F9" s="1" t="str">
        <f ca="1">IF(A9="","",IF(AND(Status_Operativo!J5="EN PUERTO",Registro_Contenedores!J5-TODAY()&lt;=3,Registro_Contenedores!J5&gt;=TODAY()),"⚠️ ALERTA CAS",""))</f>
        <v/>
      </c>
      <c r="G9" s="1" t="e">
        <f t="shared" ref="G8:G39" ca="1" si="0">IF(A9="","",IF(LEN(B9&amp;C9&amp;D9&amp;E9)&gt;0,"ERROR","OK"))</f>
        <v>#NAME?</v>
      </c>
      <c r="H9" s="1" t="e">
        <f ca="1">IF(A9="","",_xludf.TEXTJOIN(" | ",TRUE,B9,C9,D9,E9,F9))</f>
        <v>#NAME?</v>
      </c>
    </row>
    <row r="10" spans="1:8" x14ac:dyDescent="0.35">
      <c r="A10" s="1" t="str">
        <f>Registro_Contenedores!A6</f>
        <v>MSCU4102298</v>
      </c>
      <c r="B10" s="1" t="e">
        <f ca="1">IF(A10="","",_xludf.TEXTJOIN(" | ",TRUE,IF(Registro_Contenedores!J6="","Falta Fecha_CAS",""),IF(Registro_Contenedores!K6="","Falta Deposito_Vacio","")))</f>
        <v>#NAME?</v>
      </c>
      <c r="C10" s="1" t="e">
        <f ca="1">IF(A10="","",_xludf.TEXTJOIN(" | ",TRUE,IF(Planif_Grupasa!G6="","Falta Plan_Llegada_Grupasa",""),IF(Planif_Grupasa!H6="","Falta Bodega",""),IF(Planif_Grupasa!I6="","Falta Hora_Descarga","")))</f>
        <v>#NAME?</v>
      </c>
      <c r="D10" s="1" t="e">
        <f ca="1">IF(A10="","",_xludf.TEXTJOIN(" | ",TRUE,IF(Planif_Galagans!H6="","Falta Plan_Llegada_Patio",""),IF(Planif_Galagans!I6="","Falta Plan_Devolucion_Vacio","")))</f>
        <v>#NAME?</v>
      </c>
      <c r="E10" s="1" t="e">
        <f ca="1">IF(A10="","",_xludf.TEXTJOIN(" | ",TRUE,IF(Status_Operativo!J6="","Falta Status_Actual",""),IF(AND(Status_Operativo!J6="ENTREGADO",Status_Operativo!K6=""),"Falta Horario_Entrega_Real",""),IF(AND(Status_Operativo!J6&lt;&gt;"ENTREGADO",Status_Operativo!K6&lt;&gt;""),"Horario_Entrega_Real solo aplica con status ENTREGADO","")))</f>
        <v>#NAME?</v>
      </c>
      <c r="F10" s="1" t="str">
        <f ca="1">IF(A10="","",IF(AND(Status_Operativo!J6="EN PUERTO",Registro_Contenedores!J6-TODAY()&lt;=3,Registro_Contenedores!J6&gt;=TODAY()),"⚠️ ALERTA CAS",""))</f>
        <v/>
      </c>
      <c r="G10" s="1" t="e">
        <f t="shared" ca="1" si="0"/>
        <v>#NAME?</v>
      </c>
      <c r="H10" s="1" t="e">
        <f ca="1">IF(A10="","",_xludf.TEXTJOIN(" | ",TRUE,B10,C10,D10,E10,F10))</f>
        <v>#NAME?</v>
      </c>
    </row>
    <row r="11" spans="1:8" x14ac:dyDescent="0.35">
      <c r="A11" s="1" t="str">
        <f>Registro_Contenedores!A7</f>
        <v>MAEU9928113</v>
      </c>
      <c r="B11" s="1" t="e">
        <f ca="1">IF(A11="","",_xludf.TEXTJOIN(" | ",TRUE,IF(Registro_Contenedores!J7="","Falta Fecha_CAS",""),IF(Registro_Contenedores!K7="","Falta Deposito_Vacio","")))</f>
        <v>#NAME?</v>
      </c>
      <c r="C11" s="1" t="e">
        <f ca="1">IF(A11="","",_xludf.TEXTJOIN(" | ",TRUE,IF(Planif_Grupasa!G7="","Falta Plan_Llegada_Grupasa",""),IF(Planif_Grupasa!H7="","Falta Bodega",""),IF(Planif_Grupasa!I7="","Falta Hora_Descarga","")))</f>
        <v>#NAME?</v>
      </c>
      <c r="D11" s="1" t="e">
        <f ca="1">IF(A11="","",_xludf.TEXTJOIN(" | ",TRUE,IF(Planif_Galagans!H7="","Falta Plan_Llegada_Patio",""),IF(Planif_Galagans!I7="","Falta Plan_Devolucion_Vacio","")))</f>
        <v>#NAME?</v>
      </c>
      <c r="E11" s="1" t="e">
        <f ca="1">IF(A11="","",_xludf.TEXTJOIN(" | ",TRUE,IF(Status_Operativo!J7="","Falta Status_Actual",""),IF(AND(Status_Operativo!J7="ENTREGADO",Status_Operativo!K7=""),"Falta Horario_Entrega_Real",""),IF(AND(Status_Operativo!J7&lt;&gt;"ENTREGADO",Status_Operativo!K7&lt;&gt;""),"Horario_Entrega_Real solo aplica con status ENTREGADO","")))</f>
        <v>#NAME?</v>
      </c>
      <c r="F11" s="1" t="str">
        <f ca="1">IF(A11="","",IF(AND(Status_Operativo!J7="EN PUERTO",Registro_Contenedores!J7-TODAY()&lt;=3,Registro_Contenedores!J7&gt;=TODAY()),"⚠️ ALERTA CAS",""))</f>
        <v/>
      </c>
      <c r="G11" s="1" t="e">
        <f t="shared" ca="1" si="0"/>
        <v>#NAME?</v>
      </c>
      <c r="H11" s="1" t="e">
        <f ca="1">IF(A11="","",_xludf.TEXTJOIN(" | ",TRUE,B11,C11,D11,E11,F11))</f>
        <v>#NAME?</v>
      </c>
    </row>
    <row r="12" spans="1:8" x14ac:dyDescent="0.35">
      <c r="A12" s="1" t="str">
        <f>Registro_Contenedores!A8</f>
        <v>HLBU5543219</v>
      </c>
      <c r="B12" s="1" t="e">
        <f ca="1">IF(A12="","",_xludf.TEXTJOIN(" | ",TRUE,IF(Registro_Contenedores!J8="","Falta Fecha_CAS",""),IF(Registro_Contenedores!K8="","Falta Deposito_Vacio","")))</f>
        <v>#NAME?</v>
      </c>
      <c r="C12" s="1" t="e">
        <f ca="1">IF(A12="","",_xludf.TEXTJOIN(" | ",TRUE,IF(Planif_Grupasa!G8="","Falta Plan_Llegada_Grupasa",""),IF(Planif_Grupasa!H8="","Falta Bodega",""),IF(Planif_Grupasa!I8="","Falta Hora_Descarga","")))</f>
        <v>#NAME?</v>
      </c>
      <c r="D12" s="1" t="e">
        <f ca="1">IF(A12="","",_xludf.TEXTJOIN(" | ",TRUE,IF(Planif_Galagans!H8="","Falta Plan_Llegada_Patio",""),IF(Planif_Galagans!I8="","Falta Plan_Devolucion_Vacio","")))</f>
        <v>#NAME?</v>
      </c>
      <c r="E12" s="1" t="e">
        <f ca="1">IF(A12="","",_xludf.TEXTJOIN(" | ",TRUE,IF(Status_Operativo!J8="","Falta Status_Actual",""),IF(AND(Status_Operativo!J8="ENTREGADO",Status_Operativo!K8=""),"Falta Horario_Entrega_Real",""),IF(AND(Status_Operativo!J8&lt;&gt;"ENTREGADO",Status_Operativo!K8&lt;&gt;""),"Horario_Entrega_Real solo aplica con status ENTREGADO","")))</f>
        <v>#NAME?</v>
      </c>
      <c r="F12" s="1" t="str">
        <f ca="1">IF(A12="","",IF(AND(Status_Operativo!J8="EN PUERTO",Registro_Contenedores!J8-TODAY()&lt;=3,Registro_Contenedores!J8&gt;=TODAY()),"⚠️ ALERTA CAS",""))</f>
        <v/>
      </c>
      <c r="G12" s="1" t="e">
        <f t="shared" ca="1" si="0"/>
        <v>#NAME?</v>
      </c>
      <c r="H12" s="1" t="e">
        <f ca="1">IF(A12="","",_xludf.TEXTJOIN(" | ",TRUE,B12,C12,D12,E12,F12))</f>
        <v>#NAME?</v>
      </c>
    </row>
    <row r="13" spans="1:8" x14ac:dyDescent="0.35">
      <c r="A13" s="1">
        <f>Registro_Contenedores!A9</f>
        <v>0</v>
      </c>
      <c r="B13" s="1" t="e">
        <f ca="1">IF(A13="","",_xludf.TEXTJOIN(" | ",TRUE,IF(Registro_Contenedores!J9="","Falta Fecha_CAS",""),IF(Registro_Contenedores!K9="","Falta Deposito_Vacio","")))</f>
        <v>#NAME?</v>
      </c>
      <c r="C13" s="1" t="e">
        <f ca="1">IF(A13="","",_xludf.TEXTJOIN(" | ",TRUE,IF(Planif_Grupasa!G9="","Falta Plan_Llegada_Grupasa",""),IF(Planif_Grupasa!H9="","Falta Bodega",""),IF(Planif_Grupasa!I9="","Falta Hora_Descarga","")))</f>
        <v>#NAME?</v>
      </c>
      <c r="D13" s="1" t="e">
        <f ca="1">IF(A13="","",_xludf.TEXTJOIN(" | ",TRUE,IF(Planif_Galagans!H9="","Falta Plan_Llegada_Patio",""),IF(Planif_Galagans!I9="","Falta Plan_Devolucion_Vacio","")))</f>
        <v>#NAME?</v>
      </c>
      <c r="E13" s="1" t="e">
        <f ca="1">IF(A13="","",_xludf.TEXTJOIN(" | ",TRUE,IF(Status_Operativo!J9="","Falta Status_Actual",""),IF(AND(Status_Operativo!J9="ENTREGADO",Status_Operativo!K9=""),"Falta Horario_Entrega_Real",""),IF(AND(Status_Operativo!J9&lt;&gt;"ENTREGADO",Status_Operativo!K9&lt;&gt;""),"Horario_Entrega_Real solo aplica con status ENTREGADO","")))</f>
        <v>#NAME?</v>
      </c>
      <c r="F13" s="1" t="str">
        <f ca="1">IF(A13="","",IF(AND(Status_Operativo!J9="EN PUERTO",Registro_Contenedores!J9-TODAY()&lt;=3,Registro_Contenedores!J9&gt;=TODAY()),"⚠️ ALERTA CAS",""))</f>
        <v/>
      </c>
      <c r="G13" s="1" t="e">
        <f t="shared" ca="1" si="0"/>
        <v>#NAME?</v>
      </c>
      <c r="H13" s="1" t="e">
        <f ca="1">IF(A13="","",_xludf.TEXTJOIN(" | ",TRUE,B13,C13,D13,E13,F13))</f>
        <v>#NAME?</v>
      </c>
    </row>
    <row r="14" spans="1:8" x14ac:dyDescent="0.35">
      <c r="A14" s="1">
        <f>Registro_Contenedores!A10</f>
        <v>0</v>
      </c>
      <c r="B14" s="1" t="e">
        <f ca="1">IF(A14="","",_xludf.TEXTJOIN(" | ",TRUE,IF(Registro_Contenedores!J10="","Falta Fecha_CAS",""),IF(Registro_Contenedores!K10="","Falta Deposito_Vacio","")))</f>
        <v>#NAME?</v>
      </c>
      <c r="C14" s="1" t="e">
        <f ca="1">IF(A14="","",_xludf.TEXTJOIN(" | ",TRUE,IF(Planif_Grupasa!G10="","Falta Plan_Llegada_Grupasa",""),IF(Planif_Grupasa!H10="","Falta Bodega",""),IF(Planif_Grupasa!I10="","Falta Hora_Descarga","")))</f>
        <v>#NAME?</v>
      </c>
      <c r="D14" s="1" t="e">
        <f ca="1">IF(A14="","",_xludf.TEXTJOIN(" | ",TRUE,IF(Planif_Galagans!H10="","Falta Plan_Llegada_Patio",""),IF(Planif_Galagans!I10="","Falta Plan_Devolucion_Vacio","")))</f>
        <v>#NAME?</v>
      </c>
      <c r="E14" s="1" t="e">
        <f ca="1">IF(A14="","",_xludf.TEXTJOIN(" | ",TRUE,IF(Status_Operativo!J10="","Falta Status_Actual",""),IF(AND(Status_Operativo!J10="ENTREGADO",Status_Operativo!K10=""),"Falta Horario_Entrega_Real",""),IF(AND(Status_Operativo!J10&lt;&gt;"ENTREGADO",Status_Operativo!K10&lt;&gt;""),"Horario_Entrega_Real solo aplica con status ENTREGADO","")))</f>
        <v>#NAME?</v>
      </c>
      <c r="F14" s="1" t="str">
        <f ca="1">IF(A14="","",IF(AND(Status_Operativo!J10="EN PUERTO",Registro_Contenedores!J10-TODAY()&lt;=3,Registro_Contenedores!J10&gt;=TODAY()),"⚠️ ALERTA CAS",""))</f>
        <v/>
      </c>
      <c r="G14" s="1" t="e">
        <f t="shared" ca="1" si="0"/>
        <v>#NAME?</v>
      </c>
      <c r="H14" s="1" t="e">
        <f ca="1">IF(A14="","",_xludf.TEXTJOIN(" | ",TRUE,B14,C14,D14,E14,F14))</f>
        <v>#NAME?</v>
      </c>
    </row>
    <row r="15" spans="1:8" x14ac:dyDescent="0.35">
      <c r="A15" s="1">
        <f>Registro_Contenedores!A11</f>
        <v>0</v>
      </c>
      <c r="B15" s="1" t="e">
        <f ca="1">IF(A15="","",_xludf.TEXTJOIN(" | ",TRUE,IF(Registro_Contenedores!J11="","Falta Fecha_CAS",""),IF(Registro_Contenedores!K11="","Falta Deposito_Vacio","")))</f>
        <v>#NAME?</v>
      </c>
      <c r="C15" s="1" t="e">
        <f ca="1">IF(A15="","",_xludf.TEXTJOIN(" | ",TRUE,IF(Planif_Grupasa!G11="","Falta Plan_Llegada_Grupasa",""),IF(Planif_Grupasa!H11="","Falta Bodega",""),IF(Planif_Grupasa!I11="","Falta Hora_Descarga","")))</f>
        <v>#NAME?</v>
      </c>
      <c r="D15" s="1" t="e">
        <f ca="1">IF(A15="","",_xludf.TEXTJOIN(" | ",TRUE,IF(Planif_Galagans!H11="","Falta Plan_Llegada_Patio",""),IF(Planif_Galagans!I11="","Falta Plan_Devolucion_Vacio","")))</f>
        <v>#NAME?</v>
      </c>
      <c r="E15" s="1" t="e">
        <f ca="1">IF(A15="","",_xludf.TEXTJOIN(" | ",TRUE,IF(Status_Operativo!J11="","Falta Status_Actual",""),IF(AND(Status_Operativo!J11="ENTREGADO",Status_Operativo!K11=""),"Falta Horario_Entrega_Real",""),IF(AND(Status_Operativo!J11&lt;&gt;"ENTREGADO",Status_Operativo!K11&lt;&gt;""),"Horario_Entrega_Real solo aplica con status ENTREGADO","")))</f>
        <v>#NAME?</v>
      </c>
      <c r="F15" s="1" t="str">
        <f ca="1">IF(A15="","",IF(AND(Status_Operativo!J11="EN PUERTO",Registro_Contenedores!J11-TODAY()&lt;=3,Registro_Contenedores!J11&gt;=TODAY()),"⚠️ ALERTA CAS",""))</f>
        <v/>
      </c>
      <c r="G15" s="1" t="e">
        <f t="shared" ca="1" si="0"/>
        <v>#NAME?</v>
      </c>
      <c r="H15" s="1" t="e">
        <f ca="1">IF(A15="","",_xludf.TEXTJOIN(" | ",TRUE,B15,C15,D15,E15,F15))</f>
        <v>#NAME?</v>
      </c>
    </row>
    <row r="16" spans="1:8" x14ac:dyDescent="0.35">
      <c r="A16" s="1">
        <f>Registro_Contenedores!A12</f>
        <v>0</v>
      </c>
      <c r="B16" s="1" t="e">
        <f ca="1">IF(A16="","",_xludf.TEXTJOIN(" | ",TRUE,IF(Registro_Contenedores!J12="","Falta Fecha_CAS",""),IF(Registro_Contenedores!K12="","Falta Deposito_Vacio","")))</f>
        <v>#NAME?</v>
      </c>
      <c r="C16" s="1" t="e">
        <f ca="1">IF(A16="","",_xludf.TEXTJOIN(" | ",TRUE,IF(Planif_Grupasa!G12="","Falta Plan_Llegada_Grupasa",""),IF(Planif_Grupasa!H12="","Falta Bodega",""),IF(Planif_Grupasa!I12="","Falta Hora_Descarga","")))</f>
        <v>#NAME?</v>
      </c>
      <c r="D16" s="1" t="e">
        <f ca="1">IF(A16="","",_xludf.TEXTJOIN(" | ",TRUE,IF(Planif_Galagans!H12="","Falta Plan_Llegada_Patio",""),IF(Planif_Galagans!I12="","Falta Plan_Devolucion_Vacio","")))</f>
        <v>#NAME?</v>
      </c>
      <c r="E16" s="1" t="e">
        <f ca="1">IF(A16="","",_xludf.TEXTJOIN(" | ",TRUE,IF(Status_Operativo!J12="","Falta Status_Actual",""),IF(AND(Status_Operativo!J12="ENTREGADO",Status_Operativo!K12=""),"Falta Horario_Entrega_Real",""),IF(AND(Status_Operativo!J12&lt;&gt;"ENTREGADO",Status_Operativo!K12&lt;&gt;""),"Horario_Entrega_Real solo aplica con status ENTREGADO","")))</f>
        <v>#NAME?</v>
      </c>
      <c r="F16" s="1" t="str">
        <f ca="1">IF(A16="","",IF(AND(Status_Operativo!J12="EN PUERTO",Registro_Contenedores!J12-TODAY()&lt;=3,Registro_Contenedores!J12&gt;=TODAY()),"⚠️ ALERTA CAS",""))</f>
        <v/>
      </c>
      <c r="G16" s="1" t="e">
        <f t="shared" ca="1" si="0"/>
        <v>#NAME?</v>
      </c>
      <c r="H16" s="1" t="e">
        <f ca="1">IF(A16="","",_xludf.TEXTJOIN(" | ",TRUE,B16,C16,D16,E16,F16))</f>
        <v>#NAME?</v>
      </c>
    </row>
    <row r="17" spans="1:8" x14ac:dyDescent="0.35">
      <c r="A17" s="1">
        <f>Registro_Contenedores!A13</f>
        <v>0</v>
      </c>
      <c r="B17" s="1" t="e">
        <f ca="1">IF(A17="","",_xludf.TEXTJOIN(" | ",TRUE,IF(Registro_Contenedores!J13="","Falta Fecha_CAS",""),IF(Registro_Contenedores!K13="","Falta Deposito_Vacio","")))</f>
        <v>#NAME?</v>
      </c>
      <c r="C17" s="1" t="e">
        <f ca="1">IF(A17="","",_xludf.TEXTJOIN(" | ",TRUE,IF(Planif_Grupasa!G13="","Falta Plan_Llegada_Grupasa",""),IF(Planif_Grupasa!H13="","Falta Bodega",""),IF(Planif_Grupasa!I13="","Falta Hora_Descarga","")))</f>
        <v>#NAME?</v>
      </c>
      <c r="D17" s="1" t="e">
        <f ca="1">IF(A17="","",_xludf.TEXTJOIN(" | ",TRUE,IF(Planif_Galagans!H13="","Falta Plan_Llegada_Patio",""),IF(Planif_Galagans!I13="","Falta Plan_Devolucion_Vacio","")))</f>
        <v>#NAME?</v>
      </c>
      <c r="E17" s="1" t="e">
        <f ca="1">IF(A17="","",_xludf.TEXTJOIN(" | ",TRUE,IF(Status_Operativo!J13="","Falta Status_Actual",""),IF(AND(Status_Operativo!J13="ENTREGADO",Status_Operativo!K13=""),"Falta Horario_Entrega_Real",""),IF(AND(Status_Operativo!J13&lt;&gt;"ENTREGADO",Status_Operativo!K13&lt;&gt;""),"Horario_Entrega_Real solo aplica con status ENTREGADO","")))</f>
        <v>#NAME?</v>
      </c>
      <c r="F17" s="1" t="str">
        <f ca="1">IF(A17="","",IF(AND(Status_Operativo!J13="EN PUERTO",Registro_Contenedores!J13-TODAY()&lt;=3,Registro_Contenedores!J13&gt;=TODAY()),"⚠️ ALERTA CAS",""))</f>
        <v/>
      </c>
      <c r="G17" s="1" t="e">
        <f t="shared" ca="1" si="0"/>
        <v>#NAME?</v>
      </c>
      <c r="H17" s="1" t="e">
        <f ca="1">IF(A17="","",_xludf.TEXTJOIN(" | ",TRUE,B17,C17,D17,E17,F17))</f>
        <v>#NAME?</v>
      </c>
    </row>
    <row r="18" spans="1:8" x14ac:dyDescent="0.35">
      <c r="A18" s="1">
        <f>Registro_Contenedores!A14</f>
        <v>0</v>
      </c>
      <c r="B18" s="1" t="e">
        <f ca="1">IF(A18="","",_xludf.TEXTJOIN(" | ",TRUE,IF(Registro_Contenedores!J14="","Falta Fecha_CAS",""),IF(Registro_Contenedores!K14="","Falta Deposito_Vacio","")))</f>
        <v>#NAME?</v>
      </c>
      <c r="C18" s="1" t="e">
        <f ca="1">IF(A18="","",_xludf.TEXTJOIN(" | ",TRUE,IF(Planif_Grupasa!G14="","Falta Plan_Llegada_Grupasa",""),IF(Planif_Grupasa!H14="","Falta Bodega",""),IF(Planif_Grupasa!I14="","Falta Hora_Descarga","")))</f>
        <v>#NAME?</v>
      </c>
      <c r="D18" s="1" t="e">
        <f ca="1">IF(A18="","",_xludf.TEXTJOIN(" | ",TRUE,IF(Planif_Galagans!H14="","Falta Plan_Llegada_Patio",""),IF(Planif_Galagans!I14="","Falta Plan_Devolucion_Vacio","")))</f>
        <v>#NAME?</v>
      </c>
      <c r="E18" s="1" t="e">
        <f ca="1">IF(A18="","",_xludf.TEXTJOIN(" | ",TRUE,IF(Status_Operativo!J14="","Falta Status_Actual",""),IF(AND(Status_Operativo!J14="ENTREGADO",Status_Operativo!K14=""),"Falta Horario_Entrega_Real",""),IF(AND(Status_Operativo!J14&lt;&gt;"ENTREGADO",Status_Operativo!K14&lt;&gt;""),"Horario_Entrega_Real solo aplica con status ENTREGADO","")))</f>
        <v>#NAME?</v>
      </c>
      <c r="F18" s="1" t="str">
        <f ca="1">IF(A18="","",IF(AND(Status_Operativo!J14="EN PUERTO",Registro_Contenedores!J14-TODAY()&lt;=3,Registro_Contenedores!J14&gt;=TODAY()),"⚠️ ALERTA CAS",""))</f>
        <v/>
      </c>
      <c r="G18" s="1" t="e">
        <f t="shared" ca="1" si="0"/>
        <v>#NAME?</v>
      </c>
      <c r="H18" s="1" t="e">
        <f ca="1">IF(A18="","",_xludf.TEXTJOIN(" | ",TRUE,B18,C18,D18,E18,F18))</f>
        <v>#NAME?</v>
      </c>
    </row>
    <row r="19" spans="1:8" x14ac:dyDescent="0.35">
      <c r="A19" s="1">
        <f>Registro_Contenedores!A15</f>
        <v>0</v>
      </c>
      <c r="B19" s="1" t="e">
        <f ca="1">IF(A19="","",_xludf.TEXTJOIN(" | ",TRUE,IF(Registro_Contenedores!J15="","Falta Fecha_CAS",""),IF(Registro_Contenedores!K15="","Falta Deposito_Vacio","")))</f>
        <v>#NAME?</v>
      </c>
      <c r="C19" s="1" t="e">
        <f ca="1">IF(A19="","",_xludf.TEXTJOIN(" | ",TRUE,IF(Planif_Grupasa!G15="","Falta Plan_Llegada_Grupasa",""),IF(Planif_Grupasa!H15="","Falta Bodega",""),IF(Planif_Grupasa!I15="","Falta Hora_Descarga","")))</f>
        <v>#NAME?</v>
      </c>
      <c r="D19" s="1" t="e">
        <f ca="1">IF(A19="","",_xludf.TEXTJOIN(" | ",TRUE,IF(Planif_Galagans!H15="","Falta Plan_Llegada_Patio",""),IF(Planif_Galagans!I15="","Falta Plan_Devolucion_Vacio","")))</f>
        <v>#NAME?</v>
      </c>
      <c r="E19" s="1" t="e">
        <f ca="1">IF(A19="","",_xludf.TEXTJOIN(" | ",TRUE,IF(Status_Operativo!J15="","Falta Status_Actual",""),IF(AND(Status_Operativo!J15="ENTREGADO",Status_Operativo!K15=""),"Falta Horario_Entrega_Real",""),IF(AND(Status_Operativo!J15&lt;&gt;"ENTREGADO",Status_Operativo!K15&lt;&gt;""),"Horario_Entrega_Real solo aplica con status ENTREGADO","")))</f>
        <v>#NAME?</v>
      </c>
      <c r="F19" s="1" t="str">
        <f ca="1">IF(A19="","",IF(AND(Status_Operativo!J15="EN PUERTO",Registro_Contenedores!J15-TODAY()&lt;=3,Registro_Contenedores!J15&gt;=TODAY()),"⚠️ ALERTA CAS",""))</f>
        <v/>
      </c>
      <c r="G19" s="1" t="e">
        <f t="shared" ca="1" si="0"/>
        <v>#NAME?</v>
      </c>
      <c r="H19" s="1" t="e">
        <f ca="1">IF(A19="","",_xludf.TEXTJOIN(" | ",TRUE,B19,C19,D19,E19,F19))</f>
        <v>#NAME?</v>
      </c>
    </row>
    <row r="20" spans="1:8" x14ac:dyDescent="0.35">
      <c r="A20" s="1">
        <f>Registro_Contenedores!A16</f>
        <v>0</v>
      </c>
      <c r="B20" s="1" t="e">
        <f ca="1">IF(A20="","",_xludf.TEXTJOIN(" | ",TRUE,IF(Registro_Contenedores!J16="","Falta Fecha_CAS",""),IF(Registro_Contenedores!K16="","Falta Deposito_Vacio","")))</f>
        <v>#NAME?</v>
      </c>
      <c r="C20" s="1" t="e">
        <f ca="1">IF(A20="","",_xludf.TEXTJOIN(" | ",TRUE,IF(Planif_Grupasa!G16="","Falta Plan_Llegada_Grupasa",""),IF(Planif_Grupasa!H16="","Falta Bodega",""),IF(Planif_Grupasa!I16="","Falta Hora_Descarga","")))</f>
        <v>#NAME?</v>
      </c>
      <c r="D20" s="1" t="e">
        <f ca="1">IF(A20="","",_xludf.TEXTJOIN(" | ",TRUE,IF(Planif_Galagans!H16="","Falta Plan_Llegada_Patio",""),IF(Planif_Galagans!I16="","Falta Plan_Devolucion_Vacio","")))</f>
        <v>#NAME?</v>
      </c>
      <c r="E20" s="1" t="e">
        <f ca="1">IF(A20="","",_xludf.TEXTJOIN(" | ",TRUE,IF(Status_Operativo!J16="","Falta Status_Actual",""),IF(AND(Status_Operativo!J16="ENTREGADO",Status_Operativo!K16=""),"Falta Horario_Entrega_Real",""),IF(AND(Status_Operativo!J16&lt;&gt;"ENTREGADO",Status_Operativo!K16&lt;&gt;""),"Horario_Entrega_Real solo aplica con status ENTREGADO","")))</f>
        <v>#NAME?</v>
      </c>
      <c r="F20" s="1" t="str">
        <f ca="1">IF(A20="","",IF(AND(Status_Operativo!J16="EN PUERTO",Registro_Contenedores!J16-TODAY()&lt;=3,Registro_Contenedores!J16&gt;=TODAY()),"⚠️ ALERTA CAS",""))</f>
        <v/>
      </c>
      <c r="G20" s="1" t="e">
        <f t="shared" ca="1" si="0"/>
        <v>#NAME?</v>
      </c>
      <c r="H20" s="1" t="e">
        <f ca="1">IF(A20="","",_xludf.TEXTJOIN(" | ",TRUE,B20,C20,D20,E20,F20))</f>
        <v>#NAME?</v>
      </c>
    </row>
    <row r="21" spans="1:8" x14ac:dyDescent="0.35">
      <c r="A21" s="1">
        <f>Registro_Contenedores!A17</f>
        <v>0</v>
      </c>
      <c r="B21" s="1" t="e">
        <f ca="1">IF(A21="","",_xludf.TEXTJOIN(" | ",TRUE,IF(Registro_Contenedores!J17="","Falta Fecha_CAS",""),IF(Registro_Contenedores!K17="","Falta Deposito_Vacio","")))</f>
        <v>#NAME?</v>
      </c>
      <c r="C21" s="1" t="e">
        <f ca="1">IF(A21="","",_xludf.TEXTJOIN(" | ",TRUE,IF(Planif_Grupasa!G17="","Falta Plan_Llegada_Grupasa",""),IF(Planif_Grupasa!H17="","Falta Bodega",""),IF(Planif_Grupasa!I17="","Falta Hora_Descarga","")))</f>
        <v>#NAME?</v>
      </c>
      <c r="D21" s="1" t="e">
        <f ca="1">IF(A21="","",_xludf.TEXTJOIN(" | ",TRUE,IF(Planif_Galagans!H17="","Falta Plan_Llegada_Patio",""),IF(Planif_Galagans!I17="","Falta Plan_Devolucion_Vacio","")))</f>
        <v>#NAME?</v>
      </c>
      <c r="E21" s="1" t="e">
        <f ca="1">IF(A21="","",_xludf.TEXTJOIN(" | ",TRUE,IF(Status_Operativo!J17="","Falta Status_Actual",""),IF(AND(Status_Operativo!J17="ENTREGADO",Status_Operativo!K17=""),"Falta Horario_Entrega_Real",""),IF(AND(Status_Operativo!J17&lt;&gt;"ENTREGADO",Status_Operativo!K17&lt;&gt;""),"Horario_Entrega_Real solo aplica con status ENTREGADO","")))</f>
        <v>#NAME?</v>
      </c>
      <c r="F21" s="1" t="str">
        <f ca="1">IF(A21="","",IF(AND(Status_Operativo!J17="EN PUERTO",Registro_Contenedores!J17-TODAY()&lt;=3,Registro_Contenedores!J17&gt;=TODAY()),"⚠️ ALERTA CAS",""))</f>
        <v/>
      </c>
      <c r="G21" s="1" t="e">
        <f t="shared" ca="1" si="0"/>
        <v>#NAME?</v>
      </c>
      <c r="H21" s="1" t="e">
        <f ca="1">IF(A21="","",_xludf.TEXTJOIN(" | ",TRUE,B21,C21,D21,E21,F21))</f>
        <v>#NAME?</v>
      </c>
    </row>
    <row r="22" spans="1:8" x14ac:dyDescent="0.35">
      <c r="A22" s="1">
        <f>Registro_Contenedores!A18</f>
        <v>0</v>
      </c>
      <c r="B22" s="1" t="e">
        <f ca="1">IF(A22="","",_xludf.TEXTJOIN(" | ",TRUE,IF(Registro_Contenedores!J18="","Falta Fecha_CAS",""),IF(Registro_Contenedores!K18="","Falta Deposito_Vacio","")))</f>
        <v>#NAME?</v>
      </c>
      <c r="C22" s="1" t="e">
        <f ca="1">IF(A22="","",_xludf.TEXTJOIN(" | ",TRUE,IF(Planif_Grupasa!G18="","Falta Plan_Llegada_Grupasa",""),IF(Planif_Grupasa!H18="","Falta Bodega",""),IF(Planif_Grupasa!I18="","Falta Hora_Descarga","")))</f>
        <v>#NAME?</v>
      </c>
      <c r="D22" s="1" t="e">
        <f ca="1">IF(A22="","",_xludf.TEXTJOIN(" | ",TRUE,IF(Planif_Galagans!H18="","Falta Plan_Llegada_Patio",""),IF(Planif_Galagans!I18="","Falta Plan_Devolucion_Vacio","")))</f>
        <v>#NAME?</v>
      </c>
      <c r="E22" s="1" t="e">
        <f ca="1">IF(A22="","",_xludf.TEXTJOIN(" | ",TRUE,IF(Status_Operativo!J18="","Falta Status_Actual",""),IF(AND(Status_Operativo!J18="ENTREGADO",Status_Operativo!K18=""),"Falta Horario_Entrega_Real",""),IF(AND(Status_Operativo!J18&lt;&gt;"ENTREGADO",Status_Operativo!K18&lt;&gt;""),"Horario_Entrega_Real solo aplica con status ENTREGADO","")))</f>
        <v>#NAME?</v>
      </c>
      <c r="F22" s="1" t="str">
        <f ca="1">IF(A22="","",IF(AND(Status_Operativo!J18="EN PUERTO",Registro_Contenedores!J18-TODAY()&lt;=3,Registro_Contenedores!J18&gt;=TODAY()),"⚠️ ALERTA CAS",""))</f>
        <v/>
      </c>
      <c r="G22" s="1" t="e">
        <f t="shared" ca="1" si="0"/>
        <v>#NAME?</v>
      </c>
      <c r="H22" s="1" t="e">
        <f ca="1">IF(A22="","",_xludf.TEXTJOIN(" | ",TRUE,B22,C22,D22,E22,F22))</f>
        <v>#NAME?</v>
      </c>
    </row>
    <row r="23" spans="1:8" x14ac:dyDescent="0.35">
      <c r="A23" s="1">
        <f>Registro_Contenedores!A19</f>
        <v>0</v>
      </c>
      <c r="B23" s="1" t="e">
        <f ca="1">IF(A23="","",_xludf.TEXTJOIN(" | ",TRUE,IF(Registro_Contenedores!J19="","Falta Fecha_CAS",""),IF(Registro_Contenedores!K19="","Falta Deposito_Vacio","")))</f>
        <v>#NAME?</v>
      </c>
      <c r="C23" s="1" t="e">
        <f ca="1">IF(A23="","",_xludf.TEXTJOIN(" | ",TRUE,IF(Planif_Grupasa!G19="","Falta Plan_Llegada_Grupasa",""),IF(Planif_Grupasa!H19="","Falta Bodega",""),IF(Planif_Grupasa!I19="","Falta Hora_Descarga","")))</f>
        <v>#NAME?</v>
      </c>
      <c r="D23" s="1" t="e">
        <f ca="1">IF(A23="","",_xludf.TEXTJOIN(" | ",TRUE,IF(Planif_Galagans!H19="","Falta Plan_Llegada_Patio",""),IF(Planif_Galagans!I19="","Falta Plan_Devolucion_Vacio","")))</f>
        <v>#NAME?</v>
      </c>
      <c r="E23" s="1" t="e">
        <f ca="1">IF(A23="","",_xludf.TEXTJOIN(" | ",TRUE,IF(Status_Operativo!J19="","Falta Status_Actual",""),IF(AND(Status_Operativo!J19="ENTREGADO",Status_Operativo!K19=""),"Falta Horario_Entrega_Real",""),IF(AND(Status_Operativo!J19&lt;&gt;"ENTREGADO",Status_Operativo!K19&lt;&gt;""),"Horario_Entrega_Real solo aplica con status ENTREGADO","")))</f>
        <v>#NAME?</v>
      </c>
      <c r="F23" s="1" t="str">
        <f ca="1">IF(A23="","",IF(AND(Status_Operativo!J19="EN PUERTO",Registro_Contenedores!J19-TODAY()&lt;=3,Registro_Contenedores!J19&gt;=TODAY()),"⚠️ ALERTA CAS",""))</f>
        <v/>
      </c>
      <c r="G23" s="1" t="e">
        <f t="shared" ca="1" si="0"/>
        <v>#NAME?</v>
      </c>
      <c r="H23" s="1" t="e">
        <f ca="1">IF(A23="","",_xludf.TEXTJOIN(" | ",TRUE,B23,C23,D23,E23,F23))</f>
        <v>#NAME?</v>
      </c>
    </row>
    <row r="24" spans="1:8" x14ac:dyDescent="0.35">
      <c r="A24" s="1">
        <f>Registro_Contenedores!A20</f>
        <v>0</v>
      </c>
      <c r="B24" s="1" t="e">
        <f ca="1">IF(A24="","",_xludf.TEXTJOIN(" | ",TRUE,IF(Registro_Contenedores!J20="","Falta Fecha_CAS",""),IF(Registro_Contenedores!K20="","Falta Deposito_Vacio","")))</f>
        <v>#NAME?</v>
      </c>
      <c r="C24" s="1" t="e">
        <f ca="1">IF(A24="","",_xludf.TEXTJOIN(" | ",TRUE,IF(Planif_Grupasa!G20="","Falta Plan_Llegada_Grupasa",""),IF(Planif_Grupasa!H20="","Falta Bodega",""),IF(Planif_Grupasa!I20="","Falta Hora_Descarga","")))</f>
        <v>#NAME?</v>
      </c>
      <c r="D24" s="1" t="e">
        <f ca="1">IF(A24="","",_xludf.TEXTJOIN(" | ",TRUE,IF(Planif_Galagans!H20="","Falta Plan_Llegada_Patio",""),IF(Planif_Galagans!I20="","Falta Plan_Devolucion_Vacio","")))</f>
        <v>#NAME?</v>
      </c>
      <c r="E24" s="1" t="e">
        <f ca="1">IF(A24="","",_xludf.TEXTJOIN(" | ",TRUE,IF(Status_Operativo!J20="","Falta Status_Actual",""),IF(AND(Status_Operativo!J20="ENTREGADO",Status_Operativo!K20=""),"Falta Horario_Entrega_Real",""),IF(AND(Status_Operativo!J20&lt;&gt;"ENTREGADO",Status_Operativo!K20&lt;&gt;""),"Horario_Entrega_Real solo aplica con status ENTREGADO","")))</f>
        <v>#NAME?</v>
      </c>
      <c r="F24" s="1" t="str">
        <f ca="1">IF(A24="","",IF(AND(Status_Operativo!J20="EN PUERTO",Registro_Contenedores!J20-TODAY()&lt;=3,Registro_Contenedores!J20&gt;=TODAY()),"⚠️ ALERTA CAS",""))</f>
        <v/>
      </c>
      <c r="G24" s="1" t="e">
        <f t="shared" ca="1" si="0"/>
        <v>#NAME?</v>
      </c>
      <c r="H24" s="1" t="e">
        <f ca="1">IF(A24="","",_xludf.TEXTJOIN(" | ",TRUE,B24,C24,D24,E24,F24))</f>
        <v>#NAME?</v>
      </c>
    </row>
    <row r="25" spans="1:8" x14ac:dyDescent="0.35">
      <c r="A25" s="1">
        <f>Registro_Contenedores!A21</f>
        <v>0</v>
      </c>
      <c r="B25" s="1" t="e">
        <f ca="1">IF(A25="","",_xludf.TEXTJOIN(" | ",TRUE,IF(Registro_Contenedores!J21="","Falta Fecha_CAS",""),IF(Registro_Contenedores!K21="","Falta Deposito_Vacio","")))</f>
        <v>#NAME?</v>
      </c>
      <c r="C25" s="1" t="e">
        <f ca="1">IF(A25="","",_xludf.TEXTJOIN(" | ",TRUE,IF(Planif_Grupasa!G21="","Falta Plan_Llegada_Grupasa",""),IF(Planif_Grupasa!H21="","Falta Bodega",""),IF(Planif_Grupasa!I21="","Falta Hora_Descarga","")))</f>
        <v>#NAME?</v>
      </c>
      <c r="D25" s="1" t="e">
        <f ca="1">IF(A25="","",_xludf.TEXTJOIN(" | ",TRUE,IF(Planif_Galagans!H21="","Falta Plan_Llegada_Patio",""),IF(Planif_Galagans!I21="","Falta Plan_Devolucion_Vacio","")))</f>
        <v>#NAME?</v>
      </c>
      <c r="E25" s="1" t="e">
        <f ca="1">IF(A25="","",_xludf.TEXTJOIN(" | ",TRUE,IF(Status_Operativo!J21="","Falta Status_Actual",""),IF(AND(Status_Operativo!J21="ENTREGADO",Status_Operativo!K21=""),"Falta Horario_Entrega_Real",""),IF(AND(Status_Operativo!J21&lt;&gt;"ENTREGADO",Status_Operativo!K21&lt;&gt;""),"Horario_Entrega_Real solo aplica con status ENTREGADO","")))</f>
        <v>#NAME?</v>
      </c>
      <c r="F25" s="1" t="str">
        <f ca="1">IF(A25="","",IF(AND(Status_Operativo!J21="EN PUERTO",Registro_Contenedores!J21-TODAY()&lt;=3,Registro_Contenedores!J21&gt;=TODAY()),"⚠️ ALERTA CAS",""))</f>
        <v/>
      </c>
      <c r="G25" s="1" t="e">
        <f t="shared" ca="1" si="0"/>
        <v>#NAME?</v>
      </c>
      <c r="H25" s="1" t="e">
        <f ca="1">IF(A25="","",_xludf.TEXTJOIN(" | ",TRUE,B25,C25,D25,E25,F25))</f>
        <v>#NAME?</v>
      </c>
    </row>
    <row r="26" spans="1:8" x14ac:dyDescent="0.35">
      <c r="A26" s="1">
        <f>Registro_Contenedores!A22</f>
        <v>0</v>
      </c>
      <c r="B26" s="1" t="e">
        <f ca="1">IF(A26="","",_xludf.TEXTJOIN(" | ",TRUE,IF(Registro_Contenedores!J22="","Falta Fecha_CAS",""),IF(Registro_Contenedores!K22="","Falta Deposito_Vacio","")))</f>
        <v>#NAME?</v>
      </c>
      <c r="C26" s="1" t="e">
        <f ca="1">IF(A26="","",_xludf.TEXTJOIN(" | ",TRUE,IF(Planif_Grupasa!G22="","Falta Plan_Llegada_Grupasa",""),IF(Planif_Grupasa!H22="","Falta Bodega",""),IF(Planif_Grupasa!I22="","Falta Hora_Descarga","")))</f>
        <v>#NAME?</v>
      </c>
      <c r="D26" s="1" t="e">
        <f ca="1">IF(A26="","",_xludf.TEXTJOIN(" | ",TRUE,IF(Planif_Galagans!H22="","Falta Plan_Llegada_Patio",""),IF(Planif_Galagans!I22="","Falta Plan_Devolucion_Vacio","")))</f>
        <v>#NAME?</v>
      </c>
      <c r="E26" s="1" t="e">
        <f ca="1">IF(A26="","",_xludf.TEXTJOIN(" | ",TRUE,IF(Status_Operativo!J22="","Falta Status_Actual",""),IF(AND(Status_Operativo!J22="ENTREGADO",Status_Operativo!K22=""),"Falta Horario_Entrega_Real",""),IF(AND(Status_Operativo!J22&lt;&gt;"ENTREGADO",Status_Operativo!K22&lt;&gt;""),"Horario_Entrega_Real solo aplica con status ENTREGADO","")))</f>
        <v>#NAME?</v>
      </c>
      <c r="F26" s="1" t="str">
        <f ca="1">IF(A26="","",IF(AND(Status_Operativo!J22="EN PUERTO",Registro_Contenedores!J22-TODAY()&lt;=3,Registro_Contenedores!J22&gt;=TODAY()),"⚠️ ALERTA CAS",""))</f>
        <v/>
      </c>
      <c r="G26" s="1" t="e">
        <f t="shared" ca="1" si="0"/>
        <v>#NAME?</v>
      </c>
      <c r="H26" s="1" t="e">
        <f ca="1">IF(A26="","",_xludf.TEXTJOIN(" | ",TRUE,B26,C26,D26,E26,F26))</f>
        <v>#NAME?</v>
      </c>
    </row>
    <row r="27" spans="1:8" x14ac:dyDescent="0.35">
      <c r="A27" s="1">
        <f>Registro_Contenedores!A23</f>
        <v>0</v>
      </c>
      <c r="B27" s="1" t="e">
        <f ca="1">IF(A27="","",_xludf.TEXTJOIN(" | ",TRUE,IF(Registro_Contenedores!J23="","Falta Fecha_CAS",""),IF(Registro_Contenedores!K23="","Falta Deposito_Vacio","")))</f>
        <v>#NAME?</v>
      </c>
      <c r="C27" s="1" t="e">
        <f ca="1">IF(A27="","",_xludf.TEXTJOIN(" | ",TRUE,IF(Planif_Grupasa!G23="","Falta Plan_Llegada_Grupasa",""),IF(Planif_Grupasa!H23="","Falta Bodega",""),IF(Planif_Grupasa!I23="","Falta Hora_Descarga","")))</f>
        <v>#NAME?</v>
      </c>
      <c r="D27" s="1" t="e">
        <f ca="1">IF(A27="","",_xludf.TEXTJOIN(" | ",TRUE,IF(Planif_Galagans!H23="","Falta Plan_Llegada_Patio",""),IF(Planif_Galagans!I23="","Falta Plan_Devolucion_Vacio","")))</f>
        <v>#NAME?</v>
      </c>
      <c r="E27" s="1" t="e">
        <f ca="1">IF(A27="","",_xludf.TEXTJOIN(" | ",TRUE,IF(Status_Operativo!J23="","Falta Status_Actual",""),IF(AND(Status_Operativo!J23="ENTREGADO",Status_Operativo!K23=""),"Falta Horario_Entrega_Real",""),IF(AND(Status_Operativo!J23&lt;&gt;"ENTREGADO",Status_Operativo!K23&lt;&gt;""),"Horario_Entrega_Real solo aplica con status ENTREGADO","")))</f>
        <v>#NAME?</v>
      </c>
      <c r="F27" s="1" t="str">
        <f ca="1">IF(A27="","",IF(AND(Status_Operativo!J23="EN PUERTO",Registro_Contenedores!J23-TODAY()&lt;=3,Registro_Contenedores!J23&gt;=TODAY()),"⚠️ ALERTA CAS",""))</f>
        <v/>
      </c>
      <c r="G27" s="1" t="e">
        <f t="shared" ca="1" si="0"/>
        <v>#NAME?</v>
      </c>
      <c r="H27" s="1" t="e">
        <f ca="1">IF(A27="","",_xludf.TEXTJOIN(" | ",TRUE,B27,C27,D27,E27,F27))</f>
        <v>#NAME?</v>
      </c>
    </row>
    <row r="28" spans="1:8" x14ac:dyDescent="0.35">
      <c r="A28" s="1">
        <f>Registro_Contenedores!A24</f>
        <v>0</v>
      </c>
      <c r="B28" s="1" t="e">
        <f ca="1">IF(A28="","",_xludf.TEXTJOIN(" | ",TRUE,IF(Registro_Contenedores!J24="","Falta Fecha_CAS",""),IF(Registro_Contenedores!K24="","Falta Deposito_Vacio","")))</f>
        <v>#NAME?</v>
      </c>
      <c r="C28" s="1" t="e">
        <f ca="1">IF(A28="","",_xludf.TEXTJOIN(" | ",TRUE,IF(Planif_Grupasa!G24="","Falta Plan_Llegada_Grupasa",""),IF(Planif_Grupasa!H24="","Falta Bodega",""),IF(Planif_Grupasa!I24="","Falta Hora_Descarga","")))</f>
        <v>#NAME?</v>
      </c>
      <c r="D28" s="1" t="e">
        <f ca="1">IF(A28="","",_xludf.TEXTJOIN(" | ",TRUE,IF(Planif_Galagans!H24="","Falta Plan_Llegada_Patio",""),IF(Planif_Galagans!I24="","Falta Plan_Devolucion_Vacio","")))</f>
        <v>#NAME?</v>
      </c>
      <c r="E28" s="1" t="e">
        <f ca="1">IF(A28="","",_xludf.TEXTJOIN(" | ",TRUE,IF(Status_Operativo!J24="","Falta Status_Actual",""),IF(AND(Status_Operativo!J24="ENTREGADO",Status_Operativo!K24=""),"Falta Horario_Entrega_Real",""),IF(AND(Status_Operativo!J24&lt;&gt;"ENTREGADO",Status_Operativo!K24&lt;&gt;""),"Horario_Entrega_Real solo aplica con status ENTREGADO","")))</f>
        <v>#NAME?</v>
      </c>
      <c r="F28" s="1" t="str">
        <f ca="1">IF(A28="","",IF(AND(Status_Operativo!J24="EN PUERTO",Registro_Contenedores!J24-TODAY()&lt;=3,Registro_Contenedores!J24&gt;=TODAY()),"⚠️ ALERTA CAS",""))</f>
        <v/>
      </c>
      <c r="G28" s="1" t="e">
        <f t="shared" ca="1" si="0"/>
        <v>#NAME?</v>
      </c>
      <c r="H28" s="1" t="e">
        <f ca="1">IF(A28="","",_xludf.TEXTJOIN(" | ",TRUE,B28,C28,D28,E28,F28))</f>
        <v>#NAME?</v>
      </c>
    </row>
    <row r="29" spans="1:8" x14ac:dyDescent="0.35">
      <c r="A29" s="1">
        <f>Registro_Contenedores!A25</f>
        <v>0</v>
      </c>
      <c r="B29" s="1" t="e">
        <f ca="1">IF(A29="","",_xludf.TEXTJOIN(" | ",TRUE,IF(Registro_Contenedores!J25="","Falta Fecha_CAS",""),IF(Registro_Contenedores!K25="","Falta Deposito_Vacio","")))</f>
        <v>#NAME?</v>
      </c>
      <c r="C29" s="1" t="e">
        <f ca="1">IF(A29="","",_xludf.TEXTJOIN(" | ",TRUE,IF(Planif_Grupasa!G25="","Falta Plan_Llegada_Grupasa",""),IF(Planif_Grupasa!H25="","Falta Bodega",""),IF(Planif_Grupasa!I25="","Falta Hora_Descarga","")))</f>
        <v>#NAME?</v>
      </c>
      <c r="D29" s="1" t="e">
        <f ca="1">IF(A29="","",_xludf.TEXTJOIN(" | ",TRUE,IF(Planif_Galagans!H25="","Falta Plan_Llegada_Patio",""),IF(Planif_Galagans!I25="","Falta Plan_Devolucion_Vacio","")))</f>
        <v>#NAME?</v>
      </c>
      <c r="E29" s="1" t="e">
        <f ca="1">IF(A29="","",_xludf.TEXTJOIN(" | ",TRUE,IF(Status_Operativo!J25="","Falta Status_Actual",""),IF(AND(Status_Operativo!J25="ENTREGADO",Status_Operativo!K25=""),"Falta Horario_Entrega_Real",""),IF(AND(Status_Operativo!J25&lt;&gt;"ENTREGADO",Status_Operativo!K25&lt;&gt;""),"Horario_Entrega_Real solo aplica con status ENTREGADO","")))</f>
        <v>#NAME?</v>
      </c>
      <c r="F29" s="1" t="str">
        <f ca="1">IF(A29="","",IF(AND(Status_Operativo!J25="EN PUERTO",Registro_Contenedores!J25-TODAY()&lt;=3,Registro_Contenedores!J25&gt;=TODAY()),"⚠️ ALERTA CAS",""))</f>
        <v/>
      </c>
      <c r="G29" s="1" t="e">
        <f t="shared" ca="1" si="0"/>
        <v>#NAME?</v>
      </c>
      <c r="H29" s="1" t="e">
        <f ca="1">IF(A29="","",_xludf.TEXTJOIN(" | ",TRUE,B29,C29,D29,E29,F29))</f>
        <v>#NAME?</v>
      </c>
    </row>
    <row r="30" spans="1:8" x14ac:dyDescent="0.35">
      <c r="A30" s="1">
        <f>Registro_Contenedores!A26</f>
        <v>0</v>
      </c>
      <c r="B30" s="1" t="e">
        <f ca="1">IF(A30="","",_xludf.TEXTJOIN(" | ",TRUE,IF(Registro_Contenedores!J26="","Falta Fecha_CAS",""),IF(Registro_Contenedores!K26="","Falta Deposito_Vacio","")))</f>
        <v>#NAME?</v>
      </c>
      <c r="C30" s="1" t="e">
        <f ca="1">IF(A30="","",_xludf.TEXTJOIN(" | ",TRUE,IF(Planif_Grupasa!G26="","Falta Plan_Llegada_Grupasa",""),IF(Planif_Grupasa!H26="","Falta Bodega",""),IF(Planif_Grupasa!I26="","Falta Hora_Descarga","")))</f>
        <v>#NAME?</v>
      </c>
      <c r="D30" s="1" t="e">
        <f ca="1">IF(A30="","",_xludf.TEXTJOIN(" | ",TRUE,IF(Planif_Galagans!H26="","Falta Plan_Llegada_Patio",""),IF(Planif_Galagans!I26="","Falta Plan_Devolucion_Vacio","")))</f>
        <v>#NAME?</v>
      </c>
      <c r="E30" s="1" t="e">
        <f ca="1">IF(A30="","",_xludf.TEXTJOIN(" | ",TRUE,IF(Status_Operativo!J26="","Falta Status_Actual",""),IF(AND(Status_Operativo!J26="ENTREGADO",Status_Operativo!K26=""),"Falta Horario_Entrega_Real",""),IF(AND(Status_Operativo!J26&lt;&gt;"ENTREGADO",Status_Operativo!K26&lt;&gt;""),"Horario_Entrega_Real solo aplica con status ENTREGADO","")))</f>
        <v>#NAME?</v>
      </c>
      <c r="F30" s="1" t="str">
        <f ca="1">IF(A30="","",IF(AND(Status_Operativo!J26="EN PUERTO",Registro_Contenedores!J26-TODAY()&lt;=3,Registro_Contenedores!J26&gt;=TODAY()),"⚠️ ALERTA CAS",""))</f>
        <v/>
      </c>
      <c r="G30" s="1" t="e">
        <f t="shared" ca="1" si="0"/>
        <v>#NAME?</v>
      </c>
      <c r="H30" s="1" t="e">
        <f ca="1">IF(A30="","",_xludf.TEXTJOIN(" | ",TRUE,B30,C30,D30,E30,F30))</f>
        <v>#NAME?</v>
      </c>
    </row>
    <row r="31" spans="1:8" x14ac:dyDescent="0.35">
      <c r="A31" s="1">
        <f>Registro_Contenedores!A27</f>
        <v>0</v>
      </c>
      <c r="B31" s="1" t="e">
        <f ca="1">IF(A31="","",_xludf.TEXTJOIN(" | ",TRUE,IF(Registro_Contenedores!J27="","Falta Fecha_CAS",""),IF(Registro_Contenedores!K27="","Falta Deposito_Vacio","")))</f>
        <v>#NAME?</v>
      </c>
      <c r="C31" s="1" t="e">
        <f ca="1">IF(A31="","",_xludf.TEXTJOIN(" | ",TRUE,IF(Planif_Grupasa!G27="","Falta Plan_Llegada_Grupasa",""),IF(Planif_Grupasa!H27="","Falta Bodega",""),IF(Planif_Grupasa!I27="","Falta Hora_Descarga","")))</f>
        <v>#NAME?</v>
      </c>
      <c r="D31" s="1" t="e">
        <f ca="1">IF(A31="","",_xludf.TEXTJOIN(" | ",TRUE,IF(Planif_Galagans!H27="","Falta Plan_Llegada_Patio",""),IF(Planif_Galagans!I27="","Falta Plan_Devolucion_Vacio","")))</f>
        <v>#NAME?</v>
      </c>
      <c r="E31" s="1" t="e">
        <f ca="1">IF(A31="","",_xludf.TEXTJOIN(" | ",TRUE,IF(Status_Operativo!J27="","Falta Status_Actual",""),IF(AND(Status_Operativo!J27="ENTREGADO",Status_Operativo!K27=""),"Falta Horario_Entrega_Real",""),IF(AND(Status_Operativo!J27&lt;&gt;"ENTREGADO",Status_Operativo!K27&lt;&gt;""),"Horario_Entrega_Real solo aplica con status ENTREGADO","")))</f>
        <v>#NAME?</v>
      </c>
      <c r="F31" s="1" t="str">
        <f ca="1">IF(A31="","",IF(AND(Status_Operativo!J27="EN PUERTO",Registro_Contenedores!J27-TODAY()&lt;=3,Registro_Contenedores!J27&gt;=TODAY()),"⚠️ ALERTA CAS",""))</f>
        <v/>
      </c>
      <c r="G31" s="1" t="e">
        <f t="shared" ca="1" si="0"/>
        <v>#NAME?</v>
      </c>
      <c r="H31" s="1" t="e">
        <f ca="1">IF(A31="","",_xludf.TEXTJOIN(" | ",TRUE,B31,C31,D31,E31,F31))</f>
        <v>#NAME?</v>
      </c>
    </row>
    <row r="32" spans="1:8" x14ac:dyDescent="0.35">
      <c r="A32" s="1">
        <f>Registro_Contenedores!A28</f>
        <v>0</v>
      </c>
      <c r="B32" s="1" t="e">
        <f ca="1">IF(A32="","",_xludf.TEXTJOIN(" | ",TRUE,IF(Registro_Contenedores!J28="","Falta Fecha_CAS",""),IF(Registro_Contenedores!K28="","Falta Deposito_Vacio","")))</f>
        <v>#NAME?</v>
      </c>
      <c r="C32" s="1" t="e">
        <f ca="1">IF(A32="","",_xludf.TEXTJOIN(" | ",TRUE,IF(Planif_Grupasa!G28="","Falta Plan_Llegada_Grupasa",""),IF(Planif_Grupasa!H28="","Falta Bodega",""),IF(Planif_Grupasa!I28="","Falta Hora_Descarga","")))</f>
        <v>#NAME?</v>
      </c>
      <c r="D32" s="1" t="e">
        <f ca="1">IF(A32="","",_xludf.TEXTJOIN(" | ",TRUE,IF(Planif_Galagans!H28="","Falta Plan_Llegada_Patio",""),IF(Planif_Galagans!I28="","Falta Plan_Devolucion_Vacio","")))</f>
        <v>#NAME?</v>
      </c>
      <c r="E32" s="1" t="e">
        <f ca="1">IF(A32="","",_xludf.TEXTJOIN(" | ",TRUE,IF(Status_Operativo!J28="","Falta Status_Actual",""),IF(AND(Status_Operativo!J28="ENTREGADO",Status_Operativo!K28=""),"Falta Horario_Entrega_Real",""),IF(AND(Status_Operativo!J28&lt;&gt;"ENTREGADO",Status_Operativo!K28&lt;&gt;""),"Horario_Entrega_Real solo aplica con status ENTREGADO","")))</f>
        <v>#NAME?</v>
      </c>
      <c r="F32" s="1" t="str">
        <f ca="1">IF(A32="","",IF(AND(Status_Operativo!J28="EN PUERTO",Registro_Contenedores!J28-TODAY()&lt;=3,Registro_Contenedores!J28&gt;=TODAY()),"⚠️ ALERTA CAS",""))</f>
        <v/>
      </c>
      <c r="G32" s="1" t="e">
        <f t="shared" ca="1" si="0"/>
        <v>#NAME?</v>
      </c>
      <c r="H32" s="1" t="e">
        <f ca="1">IF(A32="","",_xludf.TEXTJOIN(" | ",TRUE,B32,C32,D32,E32,F32))</f>
        <v>#NAME?</v>
      </c>
    </row>
    <row r="33" spans="1:8" x14ac:dyDescent="0.35">
      <c r="A33" s="1">
        <f>Registro_Contenedores!A29</f>
        <v>0</v>
      </c>
      <c r="B33" s="1" t="e">
        <f ca="1">IF(A33="","",_xludf.TEXTJOIN(" | ",TRUE,IF(Registro_Contenedores!J29="","Falta Fecha_CAS",""),IF(Registro_Contenedores!K29="","Falta Deposito_Vacio","")))</f>
        <v>#NAME?</v>
      </c>
      <c r="C33" s="1" t="e">
        <f ca="1">IF(A33="","",_xludf.TEXTJOIN(" | ",TRUE,IF(Planif_Grupasa!G29="","Falta Plan_Llegada_Grupasa",""),IF(Planif_Grupasa!H29="","Falta Bodega",""),IF(Planif_Grupasa!I29="","Falta Hora_Descarga","")))</f>
        <v>#NAME?</v>
      </c>
      <c r="D33" s="1" t="e">
        <f ca="1">IF(A33="","",_xludf.TEXTJOIN(" | ",TRUE,IF(Planif_Galagans!H29="","Falta Plan_Llegada_Patio",""),IF(Planif_Galagans!I29="","Falta Plan_Devolucion_Vacio","")))</f>
        <v>#NAME?</v>
      </c>
      <c r="E33" s="1" t="e">
        <f ca="1">IF(A33="","",_xludf.TEXTJOIN(" | ",TRUE,IF(Status_Operativo!J29="","Falta Status_Actual",""),IF(AND(Status_Operativo!J29="ENTREGADO",Status_Operativo!K29=""),"Falta Horario_Entrega_Real",""),IF(AND(Status_Operativo!J29&lt;&gt;"ENTREGADO",Status_Operativo!K29&lt;&gt;""),"Horario_Entrega_Real solo aplica con status ENTREGADO","")))</f>
        <v>#NAME?</v>
      </c>
      <c r="F33" s="1" t="str">
        <f ca="1">IF(A33="","",IF(AND(Status_Operativo!J29="EN PUERTO",Registro_Contenedores!J29-TODAY()&lt;=3,Registro_Contenedores!J29&gt;=TODAY()),"⚠️ ALERTA CAS",""))</f>
        <v/>
      </c>
      <c r="G33" s="1" t="e">
        <f t="shared" ca="1" si="0"/>
        <v>#NAME?</v>
      </c>
      <c r="H33" s="1" t="e">
        <f ca="1">IF(A33="","",_xludf.TEXTJOIN(" | ",TRUE,B33,C33,D33,E33,F33))</f>
        <v>#NAME?</v>
      </c>
    </row>
    <row r="34" spans="1:8" x14ac:dyDescent="0.35">
      <c r="A34" s="1">
        <f>Registro_Contenedores!A30</f>
        <v>0</v>
      </c>
      <c r="B34" s="1" t="e">
        <f ca="1">IF(A34="","",_xludf.TEXTJOIN(" | ",TRUE,IF(Registro_Contenedores!J30="","Falta Fecha_CAS",""),IF(Registro_Contenedores!K30="","Falta Deposito_Vacio","")))</f>
        <v>#NAME?</v>
      </c>
      <c r="C34" s="1" t="e">
        <f ca="1">IF(A34="","",_xludf.TEXTJOIN(" | ",TRUE,IF(Planif_Grupasa!G30="","Falta Plan_Llegada_Grupasa",""),IF(Planif_Grupasa!H30="","Falta Bodega",""),IF(Planif_Grupasa!I30="","Falta Hora_Descarga","")))</f>
        <v>#NAME?</v>
      </c>
      <c r="D34" s="1" t="e">
        <f ca="1">IF(A34="","",_xludf.TEXTJOIN(" | ",TRUE,IF(Planif_Galagans!H30="","Falta Plan_Llegada_Patio",""),IF(Planif_Galagans!I30="","Falta Plan_Devolucion_Vacio","")))</f>
        <v>#NAME?</v>
      </c>
      <c r="E34" s="1" t="e">
        <f ca="1">IF(A34="","",_xludf.TEXTJOIN(" | ",TRUE,IF(Status_Operativo!J30="","Falta Status_Actual",""),IF(AND(Status_Operativo!J30="ENTREGADO",Status_Operativo!K30=""),"Falta Horario_Entrega_Real",""),IF(AND(Status_Operativo!J30&lt;&gt;"ENTREGADO",Status_Operativo!K30&lt;&gt;""),"Horario_Entrega_Real solo aplica con status ENTREGADO","")))</f>
        <v>#NAME?</v>
      </c>
      <c r="F34" s="1" t="str">
        <f ca="1">IF(A34="","",IF(AND(Status_Operativo!J30="EN PUERTO",Registro_Contenedores!J30-TODAY()&lt;=3,Registro_Contenedores!J30&gt;=TODAY()),"⚠️ ALERTA CAS",""))</f>
        <v/>
      </c>
      <c r="G34" s="1" t="e">
        <f t="shared" ca="1" si="0"/>
        <v>#NAME?</v>
      </c>
      <c r="H34" s="1" t="e">
        <f ca="1">IF(A34="","",_xludf.TEXTJOIN(" | ",TRUE,B34,C34,D34,E34,F34))</f>
        <v>#NAME?</v>
      </c>
    </row>
    <row r="35" spans="1:8" x14ac:dyDescent="0.35">
      <c r="A35" s="1">
        <f>Registro_Contenedores!A31</f>
        <v>0</v>
      </c>
      <c r="B35" s="1" t="e">
        <f ca="1">IF(A35="","",_xludf.TEXTJOIN(" | ",TRUE,IF(Registro_Contenedores!J31="","Falta Fecha_CAS",""),IF(Registro_Contenedores!K31="","Falta Deposito_Vacio","")))</f>
        <v>#NAME?</v>
      </c>
      <c r="C35" s="1" t="e">
        <f ca="1">IF(A35="","",_xludf.TEXTJOIN(" | ",TRUE,IF(Planif_Grupasa!G31="","Falta Plan_Llegada_Grupasa",""),IF(Planif_Grupasa!H31="","Falta Bodega",""),IF(Planif_Grupasa!I31="","Falta Hora_Descarga","")))</f>
        <v>#NAME?</v>
      </c>
      <c r="D35" s="1" t="e">
        <f ca="1">IF(A35="","",_xludf.TEXTJOIN(" | ",TRUE,IF(Planif_Galagans!H31="","Falta Plan_Llegada_Patio",""),IF(Planif_Galagans!I31="","Falta Plan_Devolucion_Vacio","")))</f>
        <v>#NAME?</v>
      </c>
      <c r="E35" s="1" t="e">
        <f ca="1">IF(A35="","",_xludf.TEXTJOIN(" | ",TRUE,IF(Status_Operativo!J31="","Falta Status_Actual",""),IF(AND(Status_Operativo!J31="ENTREGADO",Status_Operativo!K31=""),"Falta Horario_Entrega_Real",""),IF(AND(Status_Operativo!J31&lt;&gt;"ENTREGADO",Status_Operativo!K31&lt;&gt;""),"Horario_Entrega_Real solo aplica con status ENTREGADO","")))</f>
        <v>#NAME?</v>
      </c>
      <c r="F35" s="1" t="str">
        <f ca="1">IF(A35="","",IF(AND(Status_Operativo!J31="EN PUERTO",Registro_Contenedores!J31-TODAY()&lt;=3,Registro_Contenedores!J31&gt;=TODAY()),"⚠️ ALERTA CAS",""))</f>
        <v/>
      </c>
      <c r="G35" s="1" t="e">
        <f t="shared" ca="1" si="0"/>
        <v>#NAME?</v>
      </c>
      <c r="H35" s="1" t="e">
        <f ca="1">IF(A35="","",_xludf.TEXTJOIN(" | ",TRUE,B35,C35,D35,E35,F35))</f>
        <v>#NAME?</v>
      </c>
    </row>
    <row r="36" spans="1:8" x14ac:dyDescent="0.35">
      <c r="A36" s="1">
        <f>Registro_Contenedores!A32</f>
        <v>0</v>
      </c>
      <c r="B36" s="1" t="e">
        <f ca="1">IF(A36="","",_xludf.TEXTJOIN(" | ",TRUE,IF(Registro_Contenedores!J32="","Falta Fecha_CAS",""),IF(Registro_Contenedores!K32="","Falta Deposito_Vacio","")))</f>
        <v>#NAME?</v>
      </c>
      <c r="C36" s="1" t="e">
        <f ca="1">IF(A36="","",_xludf.TEXTJOIN(" | ",TRUE,IF(Planif_Grupasa!G32="","Falta Plan_Llegada_Grupasa",""),IF(Planif_Grupasa!H32="","Falta Bodega",""),IF(Planif_Grupasa!I32="","Falta Hora_Descarga","")))</f>
        <v>#NAME?</v>
      </c>
      <c r="D36" s="1" t="e">
        <f ca="1">IF(A36="","",_xludf.TEXTJOIN(" | ",TRUE,IF(Planif_Galagans!H32="","Falta Plan_Llegada_Patio",""),IF(Planif_Galagans!I32="","Falta Plan_Devolucion_Vacio","")))</f>
        <v>#NAME?</v>
      </c>
      <c r="E36" s="1" t="e">
        <f ca="1">IF(A36="","",_xludf.TEXTJOIN(" | ",TRUE,IF(Status_Operativo!J32="","Falta Status_Actual",""),IF(AND(Status_Operativo!J32="ENTREGADO",Status_Operativo!K32=""),"Falta Horario_Entrega_Real",""),IF(AND(Status_Operativo!J32&lt;&gt;"ENTREGADO",Status_Operativo!K32&lt;&gt;""),"Horario_Entrega_Real solo aplica con status ENTREGADO","")))</f>
        <v>#NAME?</v>
      </c>
      <c r="F36" s="1" t="str">
        <f ca="1">IF(A36="","",IF(AND(Status_Operativo!J32="EN PUERTO",Registro_Contenedores!J32-TODAY()&lt;=3,Registro_Contenedores!J32&gt;=TODAY()),"⚠️ ALERTA CAS",""))</f>
        <v/>
      </c>
      <c r="G36" s="1" t="e">
        <f t="shared" ca="1" si="0"/>
        <v>#NAME?</v>
      </c>
      <c r="H36" s="1" t="e">
        <f ca="1">IF(A36="","",_xludf.TEXTJOIN(" | ",TRUE,B36,C36,D36,E36,F36))</f>
        <v>#NAME?</v>
      </c>
    </row>
    <row r="37" spans="1:8" x14ac:dyDescent="0.35">
      <c r="A37" s="1">
        <f>Registro_Contenedores!A33</f>
        <v>0</v>
      </c>
      <c r="B37" s="1" t="e">
        <f ca="1">IF(A37="","",_xludf.TEXTJOIN(" | ",TRUE,IF(Registro_Contenedores!J33="","Falta Fecha_CAS",""),IF(Registro_Contenedores!K33="","Falta Deposito_Vacio","")))</f>
        <v>#NAME?</v>
      </c>
      <c r="C37" s="1" t="e">
        <f ca="1">IF(A37="","",_xludf.TEXTJOIN(" | ",TRUE,IF(Planif_Grupasa!G33="","Falta Plan_Llegada_Grupasa",""),IF(Planif_Grupasa!H33="","Falta Bodega",""),IF(Planif_Grupasa!I33="","Falta Hora_Descarga","")))</f>
        <v>#NAME?</v>
      </c>
      <c r="D37" s="1" t="e">
        <f ca="1">IF(A37="","",_xludf.TEXTJOIN(" | ",TRUE,IF(Planif_Galagans!H33="","Falta Plan_Llegada_Patio",""),IF(Planif_Galagans!I33="","Falta Plan_Devolucion_Vacio","")))</f>
        <v>#NAME?</v>
      </c>
      <c r="E37" s="1" t="e">
        <f ca="1">IF(A37="","",_xludf.TEXTJOIN(" | ",TRUE,IF(Status_Operativo!J33="","Falta Status_Actual",""),IF(AND(Status_Operativo!J33="ENTREGADO",Status_Operativo!K33=""),"Falta Horario_Entrega_Real",""),IF(AND(Status_Operativo!J33&lt;&gt;"ENTREGADO",Status_Operativo!K33&lt;&gt;""),"Horario_Entrega_Real solo aplica con status ENTREGADO","")))</f>
        <v>#NAME?</v>
      </c>
      <c r="F37" s="1" t="str">
        <f ca="1">IF(A37="","",IF(AND(Status_Operativo!J33="EN PUERTO",Registro_Contenedores!J33-TODAY()&lt;=3,Registro_Contenedores!J33&gt;=TODAY()),"⚠️ ALERTA CAS",""))</f>
        <v/>
      </c>
      <c r="G37" s="1" t="e">
        <f t="shared" ca="1" si="0"/>
        <v>#NAME?</v>
      </c>
      <c r="H37" s="1" t="e">
        <f ca="1">IF(A37="","",_xludf.TEXTJOIN(" | ",TRUE,B37,C37,D37,E37,F37))</f>
        <v>#NAME?</v>
      </c>
    </row>
    <row r="38" spans="1:8" x14ac:dyDescent="0.35">
      <c r="A38" s="1">
        <f>Registro_Contenedores!A34</f>
        <v>0</v>
      </c>
      <c r="B38" s="1" t="e">
        <f ca="1">IF(A38="","",_xludf.TEXTJOIN(" | ",TRUE,IF(Registro_Contenedores!J34="","Falta Fecha_CAS",""),IF(Registro_Contenedores!K34="","Falta Deposito_Vacio","")))</f>
        <v>#NAME?</v>
      </c>
      <c r="C38" s="1" t="e">
        <f ca="1">IF(A38="","",_xludf.TEXTJOIN(" | ",TRUE,IF(Planif_Grupasa!G34="","Falta Plan_Llegada_Grupasa",""),IF(Planif_Grupasa!H34="","Falta Bodega",""),IF(Planif_Grupasa!I34="","Falta Hora_Descarga","")))</f>
        <v>#NAME?</v>
      </c>
      <c r="D38" s="1" t="e">
        <f ca="1">IF(A38="","",_xludf.TEXTJOIN(" | ",TRUE,IF(Planif_Galagans!H34="","Falta Plan_Llegada_Patio",""),IF(Planif_Galagans!I34="","Falta Plan_Devolucion_Vacio","")))</f>
        <v>#NAME?</v>
      </c>
      <c r="E38" s="1" t="e">
        <f ca="1">IF(A38="","",_xludf.TEXTJOIN(" | ",TRUE,IF(Status_Operativo!J34="","Falta Status_Actual",""),IF(AND(Status_Operativo!J34="ENTREGADO",Status_Operativo!K34=""),"Falta Horario_Entrega_Real",""),IF(AND(Status_Operativo!J34&lt;&gt;"ENTREGADO",Status_Operativo!K34&lt;&gt;""),"Horario_Entrega_Real solo aplica con status ENTREGADO","")))</f>
        <v>#NAME?</v>
      </c>
      <c r="F38" s="1" t="str">
        <f ca="1">IF(A38="","",IF(AND(Status_Operativo!J34="EN PUERTO",Registro_Contenedores!J34-TODAY()&lt;=3,Registro_Contenedores!J34&gt;=TODAY()),"⚠️ ALERTA CAS",""))</f>
        <v/>
      </c>
      <c r="G38" s="1" t="e">
        <f t="shared" ca="1" si="0"/>
        <v>#NAME?</v>
      </c>
      <c r="H38" s="1" t="e">
        <f ca="1">IF(A38="","",_xludf.TEXTJOIN(" | ",TRUE,B38,C38,D38,E38,F38))</f>
        <v>#NAME?</v>
      </c>
    </row>
    <row r="39" spans="1:8" x14ac:dyDescent="0.35">
      <c r="A39" s="1">
        <f>Registro_Contenedores!A35</f>
        <v>0</v>
      </c>
      <c r="B39" s="1" t="e">
        <f ca="1">IF(A39="","",_xludf.TEXTJOIN(" | ",TRUE,IF(Registro_Contenedores!J35="","Falta Fecha_CAS",""),IF(Registro_Contenedores!K35="","Falta Deposito_Vacio","")))</f>
        <v>#NAME?</v>
      </c>
      <c r="C39" s="1" t="e">
        <f ca="1">IF(A39="","",_xludf.TEXTJOIN(" | ",TRUE,IF(Planif_Grupasa!G35="","Falta Plan_Llegada_Grupasa",""),IF(Planif_Grupasa!H35="","Falta Bodega",""),IF(Planif_Grupasa!I35="","Falta Hora_Descarga","")))</f>
        <v>#NAME?</v>
      </c>
      <c r="D39" s="1" t="e">
        <f ca="1">IF(A39="","",_xludf.TEXTJOIN(" | ",TRUE,IF(Planif_Galagans!H35="","Falta Plan_Llegada_Patio",""),IF(Planif_Galagans!I35="","Falta Plan_Devolucion_Vacio","")))</f>
        <v>#NAME?</v>
      </c>
      <c r="E39" s="1" t="e">
        <f ca="1">IF(A39="","",_xludf.TEXTJOIN(" | ",TRUE,IF(Status_Operativo!J35="","Falta Status_Actual",""),IF(AND(Status_Operativo!J35="ENTREGADO",Status_Operativo!K35=""),"Falta Horario_Entrega_Real",""),IF(AND(Status_Operativo!J35&lt;&gt;"ENTREGADO",Status_Operativo!K35&lt;&gt;""),"Horario_Entrega_Real solo aplica con status ENTREGADO","")))</f>
        <v>#NAME?</v>
      </c>
      <c r="F39" s="1" t="str">
        <f ca="1">IF(A39="","",IF(AND(Status_Operativo!J35="EN PUERTO",Registro_Contenedores!J35-TODAY()&lt;=3,Registro_Contenedores!J35&gt;=TODAY()),"⚠️ ALERTA CAS",""))</f>
        <v/>
      </c>
      <c r="G39" s="1" t="e">
        <f t="shared" ca="1" si="0"/>
        <v>#NAME?</v>
      </c>
      <c r="H39" s="1" t="e">
        <f ca="1">IF(A39="","",_xludf.TEXTJOIN(" | ",TRUE,B39,C39,D39,E39,F39))</f>
        <v>#NAME?</v>
      </c>
    </row>
    <row r="40" spans="1:8" x14ac:dyDescent="0.35">
      <c r="A40" s="1">
        <f>Registro_Contenedores!A36</f>
        <v>0</v>
      </c>
      <c r="B40" s="1" t="e">
        <f ca="1">IF(A40="","",_xludf.TEXTJOIN(" | ",TRUE,IF(Registro_Contenedores!J36="","Falta Fecha_CAS",""),IF(Registro_Contenedores!K36="","Falta Deposito_Vacio","")))</f>
        <v>#NAME?</v>
      </c>
      <c r="C40" s="1" t="e">
        <f ca="1">IF(A40="","",_xludf.TEXTJOIN(" | ",TRUE,IF(Planif_Grupasa!G36="","Falta Plan_Llegada_Grupasa",""),IF(Planif_Grupasa!H36="","Falta Bodega",""),IF(Planif_Grupasa!I36="","Falta Hora_Descarga","")))</f>
        <v>#NAME?</v>
      </c>
      <c r="D40" s="1" t="e">
        <f ca="1">IF(A40="","",_xludf.TEXTJOIN(" | ",TRUE,IF(Planif_Galagans!H36="","Falta Plan_Llegada_Patio",""),IF(Planif_Galagans!I36="","Falta Plan_Devolucion_Vacio","")))</f>
        <v>#NAME?</v>
      </c>
      <c r="E40" s="1" t="e">
        <f ca="1">IF(A40="","",_xludf.TEXTJOIN(" | ",TRUE,IF(Status_Operativo!J36="","Falta Status_Actual",""),IF(AND(Status_Operativo!J36="ENTREGADO",Status_Operativo!K36=""),"Falta Horario_Entrega_Real",""),IF(AND(Status_Operativo!J36&lt;&gt;"ENTREGADO",Status_Operativo!K36&lt;&gt;""),"Horario_Entrega_Real solo aplica con status ENTREGADO","")))</f>
        <v>#NAME?</v>
      </c>
      <c r="F40" s="1" t="str">
        <f ca="1">IF(A40="","",IF(AND(Status_Operativo!J36="EN PUERTO",Registro_Contenedores!J36-TODAY()&lt;=3,Registro_Contenedores!J36&gt;=TODAY()),"⚠️ ALERTA CAS",""))</f>
        <v/>
      </c>
      <c r="G40" s="1" t="e">
        <f t="shared" ref="G40:G71" ca="1" si="1">IF(A40="","",IF(LEN(B40&amp;C40&amp;D40&amp;E40)&gt;0,"ERROR","OK"))</f>
        <v>#NAME?</v>
      </c>
      <c r="H40" s="1" t="e">
        <f ca="1">IF(A40="","",_xludf.TEXTJOIN(" | ",TRUE,B40,C40,D40,E40,F40))</f>
        <v>#NAME?</v>
      </c>
    </row>
    <row r="41" spans="1:8" x14ac:dyDescent="0.35">
      <c r="A41" s="1">
        <f>Registro_Contenedores!A37</f>
        <v>0</v>
      </c>
      <c r="B41" s="1" t="e">
        <f ca="1">IF(A41="","",_xludf.TEXTJOIN(" | ",TRUE,IF(Registro_Contenedores!J37="","Falta Fecha_CAS",""),IF(Registro_Contenedores!K37="","Falta Deposito_Vacio","")))</f>
        <v>#NAME?</v>
      </c>
      <c r="C41" s="1" t="e">
        <f ca="1">IF(A41="","",_xludf.TEXTJOIN(" | ",TRUE,IF(Planif_Grupasa!G37="","Falta Plan_Llegada_Grupasa",""),IF(Planif_Grupasa!H37="","Falta Bodega",""),IF(Planif_Grupasa!I37="","Falta Hora_Descarga","")))</f>
        <v>#NAME?</v>
      </c>
      <c r="D41" s="1" t="e">
        <f ca="1">IF(A41="","",_xludf.TEXTJOIN(" | ",TRUE,IF(Planif_Galagans!H37="","Falta Plan_Llegada_Patio",""),IF(Planif_Galagans!I37="","Falta Plan_Devolucion_Vacio","")))</f>
        <v>#NAME?</v>
      </c>
      <c r="E41" s="1" t="e">
        <f ca="1">IF(A41="","",_xludf.TEXTJOIN(" | ",TRUE,IF(Status_Operativo!J37="","Falta Status_Actual",""),IF(AND(Status_Operativo!J37="ENTREGADO",Status_Operativo!K37=""),"Falta Horario_Entrega_Real",""),IF(AND(Status_Operativo!J37&lt;&gt;"ENTREGADO",Status_Operativo!K37&lt;&gt;""),"Horario_Entrega_Real solo aplica con status ENTREGADO","")))</f>
        <v>#NAME?</v>
      </c>
      <c r="F41" s="1" t="str">
        <f ca="1">IF(A41="","",IF(AND(Status_Operativo!J37="EN PUERTO",Registro_Contenedores!J37-TODAY()&lt;=3,Registro_Contenedores!J37&gt;=TODAY()),"⚠️ ALERTA CAS",""))</f>
        <v/>
      </c>
      <c r="G41" s="1" t="e">
        <f t="shared" ca="1" si="1"/>
        <v>#NAME?</v>
      </c>
      <c r="H41" s="1" t="e">
        <f ca="1">IF(A41="","",_xludf.TEXTJOIN(" | ",TRUE,B41,C41,D41,E41,F41))</f>
        <v>#NAME?</v>
      </c>
    </row>
    <row r="42" spans="1:8" x14ac:dyDescent="0.35">
      <c r="A42" s="1">
        <f>Registro_Contenedores!A38</f>
        <v>0</v>
      </c>
      <c r="B42" s="1" t="e">
        <f ca="1">IF(A42="","",_xludf.TEXTJOIN(" | ",TRUE,IF(Registro_Contenedores!J38="","Falta Fecha_CAS",""),IF(Registro_Contenedores!K38="","Falta Deposito_Vacio","")))</f>
        <v>#NAME?</v>
      </c>
      <c r="C42" s="1" t="e">
        <f ca="1">IF(A42="","",_xludf.TEXTJOIN(" | ",TRUE,IF(Planif_Grupasa!G38="","Falta Plan_Llegada_Grupasa",""),IF(Planif_Grupasa!H38="","Falta Bodega",""),IF(Planif_Grupasa!I38="","Falta Hora_Descarga","")))</f>
        <v>#NAME?</v>
      </c>
      <c r="D42" s="1" t="e">
        <f ca="1">IF(A42="","",_xludf.TEXTJOIN(" | ",TRUE,IF(Planif_Galagans!H38="","Falta Plan_Llegada_Patio",""),IF(Planif_Galagans!I38="","Falta Plan_Devolucion_Vacio","")))</f>
        <v>#NAME?</v>
      </c>
      <c r="E42" s="1" t="e">
        <f ca="1">IF(A42="","",_xludf.TEXTJOIN(" | ",TRUE,IF(Status_Operativo!J38="","Falta Status_Actual",""),IF(AND(Status_Operativo!J38="ENTREGADO",Status_Operativo!K38=""),"Falta Horario_Entrega_Real",""),IF(AND(Status_Operativo!J38&lt;&gt;"ENTREGADO",Status_Operativo!K38&lt;&gt;""),"Horario_Entrega_Real solo aplica con status ENTREGADO","")))</f>
        <v>#NAME?</v>
      </c>
      <c r="F42" s="1" t="str">
        <f ca="1">IF(A42="","",IF(AND(Status_Operativo!J38="EN PUERTO",Registro_Contenedores!J38-TODAY()&lt;=3,Registro_Contenedores!J38&gt;=TODAY()),"⚠️ ALERTA CAS",""))</f>
        <v/>
      </c>
      <c r="G42" s="1" t="e">
        <f t="shared" ca="1" si="1"/>
        <v>#NAME?</v>
      </c>
      <c r="H42" s="1" t="e">
        <f ca="1">IF(A42="","",_xludf.TEXTJOIN(" | ",TRUE,B42,C42,D42,E42,F42))</f>
        <v>#NAME?</v>
      </c>
    </row>
    <row r="43" spans="1:8" x14ac:dyDescent="0.35">
      <c r="A43" s="1">
        <f>Registro_Contenedores!A39</f>
        <v>0</v>
      </c>
      <c r="B43" s="1" t="e">
        <f ca="1">IF(A43="","",_xludf.TEXTJOIN(" | ",TRUE,IF(Registro_Contenedores!J39="","Falta Fecha_CAS",""),IF(Registro_Contenedores!K39="","Falta Deposito_Vacio","")))</f>
        <v>#NAME?</v>
      </c>
      <c r="C43" s="1" t="e">
        <f ca="1">IF(A43="","",_xludf.TEXTJOIN(" | ",TRUE,IF(Planif_Grupasa!G39="","Falta Plan_Llegada_Grupasa",""),IF(Planif_Grupasa!H39="","Falta Bodega",""),IF(Planif_Grupasa!I39="","Falta Hora_Descarga","")))</f>
        <v>#NAME?</v>
      </c>
      <c r="D43" s="1" t="e">
        <f ca="1">IF(A43="","",_xludf.TEXTJOIN(" | ",TRUE,IF(Planif_Galagans!H39="","Falta Plan_Llegada_Patio",""),IF(Planif_Galagans!I39="","Falta Plan_Devolucion_Vacio","")))</f>
        <v>#NAME?</v>
      </c>
      <c r="E43" s="1" t="e">
        <f ca="1">IF(A43="","",_xludf.TEXTJOIN(" | ",TRUE,IF(Status_Operativo!J39="","Falta Status_Actual",""),IF(AND(Status_Operativo!J39="ENTREGADO",Status_Operativo!K39=""),"Falta Horario_Entrega_Real",""),IF(AND(Status_Operativo!J39&lt;&gt;"ENTREGADO",Status_Operativo!K39&lt;&gt;""),"Horario_Entrega_Real solo aplica con status ENTREGADO","")))</f>
        <v>#NAME?</v>
      </c>
      <c r="F43" s="1" t="str">
        <f ca="1">IF(A43="","",IF(AND(Status_Operativo!J39="EN PUERTO",Registro_Contenedores!J39-TODAY()&lt;=3,Registro_Contenedores!J39&gt;=TODAY()),"⚠️ ALERTA CAS",""))</f>
        <v/>
      </c>
      <c r="G43" s="1" t="e">
        <f t="shared" ca="1" si="1"/>
        <v>#NAME?</v>
      </c>
      <c r="H43" s="1" t="e">
        <f ca="1">IF(A43="","",_xludf.TEXTJOIN(" | ",TRUE,B43,C43,D43,E43,F43))</f>
        <v>#NAME?</v>
      </c>
    </row>
    <row r="44" spans="1:8" x14ac:dyDescent="0.35">
      <c r="A44" s="1">
        <f>Registro_Contenedores!A40</f>
        <v>0</v>
      </c>
      <c r="B44" s="1" t="e">
        <f ca="1">IF(A44="","",_xludf.TEXTJOIN(" | ",TRUE,IF(Registro_Contenedores!J40="","Falta Fecha_CAS",""),IF(Registro_Contenedores!K40="","Falta Deposito_Vacio","")))</f>
        <v>#NAME?</v>
      </c>
      <c r="C44" s="1" t="e">
        <f ca="1">IF(A44="","",_xludf.TEXTJOIN(" | ",TRUE,IF(Planif_Grupasa!G40="","Falta Plan_Llegada_Grupasa",""),IF(Planif_Grupasa!H40="","Falta Bodega",""),IF(Planif_Grupasa!I40="","Falta Hora_Descarga","")))</f>
        <v>#NAME?</v>
      </c>
      <c r="D44" s="1" t="e">
        <f ca="1">IF(A44="","",_xludf.TEXTJOIN(" | ",TRUE,IF(Planif_Galagans!H40="","Falta Plan_Llegada_Patio",""),IF(Planif_Galagans!I40="","Falta Plan_Devolucion_Vacio","")))</f>
        <v>#NAME?</v>
      </c>
      <c r="E44" s="1" t="e">
        <f ca="1">IF(A44="","",_xludf.TEXTJOIN(" | ",TRUE,IF(Status_Operativo!J40="","Falta Status_Actual",""),IF(AND(Status_Operativo!J40="ENTREGADO",Status_Operativo!K40=""),"Falta Horario_Entrega_Real",""),IF(AND(Status_Operativo!J40&lt;&gt;"ENTREGADO",Status_Operativo!K40&lt;&gt;""),"Horario_Entrega_Real solo aplica con status ENTREGADO","")))</f>
        <v>#NAME?</v>
      </c>
      <c r="F44" s="1" t="str">
        <f ca="1">IF(A44="","",IF(AND(Status_Operativo!J40="EN PUERTO",Registro_Contenedores!J40-TODAY()&lt;=3,Registro_Contenedores!J40&gt;=TODAY()),"⚠️ ALERTA CAS",""))</f>
        <v/>
      </c>
      <c r="G44" s="1" t="e">
        <f t="shared" ca="1" si="1"/>
        <v>#NAME?</v>
      </c>
      <c r="H44" s="1" t="e">
        <f ca="1">IF(A44="","",_xludf.TEXTJOIN(" | ",TRUE,B44,C44,D44,E44,F44))</f>
        <v>#NAME?</v>
      </c>
    </row>
    <row r="45" spans="1:8" x14ac:dyDescent="0.35">
      <c r="A45" s="1">
        <f>Registro_Contenedores!A41</f>
        <v>0</v>
      </c>
      <c r="B45" s="1" t="e">
        <f ca="1">IF(A45="","",_xludf.TEXTJOIN(" | ",TRUE,IF(Registro_Contenedores!J41="","Falta Fecha_CAS",""),IF(Registro_Contenedores!K41="","Falta Deposito_Vacio","")))</f>
        <v>#NAME?</v>
      </c>
      <c r="C45" s="1" t="e">
        <f ca="1">IF(A45="","",_xludf.TEXTJOIN(" | ",TRUE,IF(Planif_Grupasa!G41="","Falta Plan_Llegada_Grupasa",""),IF(Planif_Grupasa!H41="","Falta Bodega",""),IF(Planif_Grupasa!I41="","Falta Hora_Descarga","")))</f>
        <v>#NAME?</v>
      </c>
      <c r="D45" s="1" t="e">
        <f ca="1">IF(A45="","",_xludf.TEXTJOIN(" | ",TRUE,IF(Planif_Galagans!H41="","Falta Plan_Llegada_Patio",""),IF(Planif_Galagans!I41="","Falta Plan_Devolucion_Vacio","")))</f>
        <v>#NAME?</v>
      </c>
      <c r="E45" s="1" t="e">
        <f ca="1">IF(A45="","",_xludf.TEXTJOIN(" | ",TRUE,IF(Status_Operativo!J41="","Falta Status_Actual",""),IF(AND(Status_Operativo!J41="ENTREGADO",Status_Operativo!K41=""),"Falta Horario_Entrega_Real",""),IF(AND(Status_Operativo!J41&lt;&gt;"ENTREGADO",Status_Operativo!K41&lt;&gt;""),"Horario_Entrega_Real solo aplica con status ENTREGADO","")))</f>
        <v>#NAME?</v>
      </c>
      <c r="F45" s="1" t="str">
        <f ca="1">IF(A45="","",IF(AND(Status_Operativo!J41="EN PUERTO",Registro_Contenedores!J41-TODAY()&lt;=3,Registro_Contenedores!J41&gt;=TODAY()),"⚠️ ALERTA CAS",""))</f>
        <v/>
      </c>
      <c r="G45" s="1" t="e">
        <f t="shared" ca="1" si="1"/>
        <v>#NAME?</v>
      </c>
      <c r="H45" s="1" t="e">
        <f ca="1">IF(A45="","",_xludf.TEXTJOIN(" | ",TRUE,B45,C45,D45,E45,F45))</f>
        <v>#NAME?</v>
      </c>
    </row>
    <row r="46" spans="1:8" x14ac:dyDescent="0.35">
      <c r="A46" s="1">
        <f>Registro_Contenedores!A42</f>
        <v>0</v>
      </c>
      <c r="B46" s="1" t="e">
        <f ca="1">IF(A46="","",_xludf.TEXTJOIN(" | ",TRUE,IF(Registro_Contenedores!J42="","Falta Fecha_CAS",""),IF(Registro_Contenedores!K42="","Falta Deposito_Vacio","")))</f>
        <v>#NAME?</v>
      </c>
      <c r="C46" s="1" t="e">
        <f ca="1">IF(A46="","",_xludf.TEXTJOIN(" | ",TRUE,IF(Planif_Grupasa!G42="","Falta Plan_Llegada_Grupasa",""),IF(Planif_Grupasa!H42="","Falta Bodega",""),IF(Planif_Grupasa!I42="","Falta Hora_Descarga","")))</f>
        <v>#NAME?</v>
      </c>
      <c r="D46" s="1" t="e">
        <f ca="1">IF(A46="","",_xludf.TEXTJOIN(" | ",TRUE,IF(Planif_Galagans!H42="","Falta Plan_Llegada_Patio",""),IF(Planif_Galagans!I42="","Falta Plan_Devolucion_Vacio","")))</f>
        <v>#NAME?</v>
      </c>
      <c r="E46" s="1" t="e">
        <f ca="1">IF(A46="","",_xludf.TEXTJOIN(" | ",TRUE,IF(Status_Operativo!J42="","Falta Status_Actual",""),IF(AND(Status_Operativo!J42="ENTREGADO",Status_Operativo!K42=""),"Falta Horario_Entrega_Real",""),IF(AND(Status_Operativo!J42&lt;&gt;"ENTREGADO",Status_Operativo!K42&lt;&gt;""),"Horario_Entrega_Real solo aplica con status ENTREGADO","")))</f>
        <v>#NAME?</v>
      </c>
      <c r="F46" s="1" t="str">
        <f ca="1">IF(A46="","",IF(AND(Status_Operativo!J42="EN PUERTO",Registro_Contenedores!J42-TODAY()&lt;=3,Registro_Contenedores!J42&gt;=TODAY()),"⚠️ ALERTA CAS",""))</f>
        <v/>
      </c>
      <c r="G46" s="1" t="e">
        <f t="shared" ca="1" si="1"/>
        <v>#NAME?</v>
      </c>
      <c r="H46" s="1" t="e">
        <f ca="1">IF(A46="","",_xludf.TEXTJOIN(" | ",TRUE,B46,C46,D46,E46,F46))</f>
        <v>#NAME?</v>
      </c>
    </row>
    <row r="47" spans="1:8" x14ac:dyDescent="0.35">
      <c r="A47" s="1">
        <f>Registro_Contenedores!A43</f>
        <v>0</v>
      </c>
      <c r="B47" s="1" t="e">
        <f ca="1">IF(A47="","",_xludf.TEXTJOIN(" | ",TRUE,IF(Registro_Contenedores!J43="","Falta Fecha_CAS",""),IF(Registro_Contenedores!K43="","Falta Deposito_Vacio","")))</f>
        <v>#NAME?</v>
      </c>
      <c r="C47" s="1" t="e">
        <f ca="1">IF(A47="","",_xludf.TEXTJOIN(" | ",TRUE,IF(Planif_Grupasa!G43="","Falta Plan_Llegada_Grupasa",""),IF(Planif_Grupasa!H43="","Falta Bodega",""),IF(Planif_Grupasa!I43="","Falta Hora_Descarga","")))</f>
        <v>#NAME?</v>
      </c>
      <c r="D47" s="1" t="e">
        <f ca="1">IF(A47="","",_xludf.TEXTJOIN(" | ",TRUE,IF(Planif_Galagans!H43="","Falta Plan_Llegada_Patio",""),IF(Planif_Galagans!I43="","Falta Plan_Devolucion_Vacio","")))</f>
        <v>#NAME?</v>
      </c>
      <c r="E47" s="1" t="e">
        <f ca="1">IF(A47="","",_xludf.TEXTJOIN(" | ",TRUE,IF(Status_Operativo!J43="","Falta Status_Actual",""),IF(AND(Status_Operativo!J43="ENTREGADO",Status_Operativo!K43=""),"Falta Horario_Entrega_Real",""),IF(AND(Status_Operativo!J43&lt;&gt;"ENTREGADO",Status_Operativo!K43&lt;&gt;""),"Horario_Entrega_Real solo aplica con status ENTREGADO","")))</f>
        <v>#NAME?</v>
      </c>
      <c r="F47" s="1" t="str">
        <f ca="1">IF(A47="","",IF(AND(Status_Operativo!J43="EN PUERTO",Registro_Contenedores!J43-TODAY()&lt;=3,Registro_Contenedores!J43&gt;=TODAY()),"⚠️ ALERTA CAS",""))</f>
        <v/>
      </c>
      <c r="G47" s="1" t="e">
        <f t="shared" ca="1" si="1"/>
        <v>#NAME?</v>
      </c>
      <c r="H47" s="1" t="e">
        <f ca="1">IF(A47="","",_xludf.TEXTJOIN(" | ",TRUE,B47,C47,D47,E47,F47))</f>
        <v>#NAME?</v>
      </c>
    </row>
    <row r="48" spans="1:8" x14ac:dyDescent="0.35">
      <c r="A48" s="1">
        <f>Registro_Contenedores!A44</f>
        <v>0</v>
      </c>
      <c r="B48" s="1" t="e">
        <f ca="1">IF(A48="","",_xludf.TEXTJOIN(" | ",TRUE,IF(Registro_Contenedores!J44="","Falta Fecha_CAS",""),IF(Registro_Contenedores!K44="","Falta Deposito_Vacio","")))</f>
        <v>#NAME?</v>
      </c>
      <c r="C48" s="1" t="e">
        <f ca="1">IF(A48="","",_xludf.TEXTJOIN(" | ",TRUE,IF(Planif_Grupasa!G44="","Falta Plan_Llegada_Grupasa",""),IF(Planif_Grupasa!H44="","Falta Bodega",""),IF(Planif_Grupasa!I44="","Falta Hora_Descarga","")))</f>
        <v>#NAME?</v>
      </c>
      <c r="D48" s="1" t="e">
        <f ca="1">IF(A48="","",_xludf.TEXTJOIN(" | ",TRUE,IF(Planif_Galagans!H44="","Falta Plan_Llegada_Patio",""),IF(Planif_Galagans!I44="","Falta Plan_Devolucion_Vacio","")))</f>
        <v>#NAME?</v>
      </c>
      <c r="E48" s="1" t="e">
        <f ca="1">IF(A48="","",_xludf.TEXTJOIN(" | ",TRUE,IF(Status_Operativo!J44="","Falta Status_Actual",""),IF(AND(Status_Operativo!J44="ENTREGADO",Status_Operativo!K44=""),"Falta Horario_Entrega_Real",""),IF(AND(Status_Operativo!J44&lt;&gt;"ENTREGADO",Status_Operativo!K44&lt;&gt;""),"Horario_Entrega_Real solo aplica con status ENTREGADO","")))</f>
        <v>#NAME?</v>
      </c>
      <c r="F48" s="1" t="str">
        <f ca="1">IF(A48="","",IF(AND(Status_Operativo!J44="EN PUERTO",Registro_Contenedores!J44-TODAY()&lt;=3,Registro_Contenedores!J44&gt;=TODAY()),"⚠️ ALERTA CAS",""))</f>
        <v/>
      </c>
      <c r="G48" s="1" t="e">
        <f t="shared" ca="1" si="1"/>
        <v>#NAME?</v>
      </c>
      <c r="H48" s="1" t="e">
        <f ca="1">IF(A48="","",_xludf.TEXTJOIN(" | ",TRUE,B48,C48,D48,E48,F48))</f>
        <v>#NAME?</v>
      </c>
    </row>
    <row r="49" spans="1:8" x14ac:dyDescent="0.35">
      <c r="A49" s="1">
        <f>Registro_Contenedores!A45</f>
        <v>0</v>
      </c>
      <c r="B49" s="1" t="e">
        <f ca="1">IF(A49="","",_xludf.TEXTJOIN(" | ",TRUE,IF(Registro_Contenedores!J45="","Falta Fecha_CAS",""),IF(Registro_Contenedores!K45="","Falta Deposito_Vacio","")))</f>
        <v>#NAME?</v>
      </c>
      <c r="C49" s="1" t="e">
        <f ca="1">IF(A49="","",_xludf.TEXTJOIN(" | ",TRUE,IF(Planif_Grupasa!G45="","Falta Plan_Llegada_Grupasa",""),IF(Planif_Grupasa!H45="","Falta Bodega",""),IF(Planif_Grupasa!I45="","Falta Hora_Descarga","")))</f>
        <v>#NAME?</v>
      </c>
      <c r="D49" s="1" t="e">
        <f ca="1">IF(A49="","",_xludf.TEXTJOIN(" | ",TRUE,IF(Planif_Galagans!H45="","Falta Plan_Llegada_Patio",""),IF(Planif_Galagans!I45="","Falta Plan_Devolucion_Vacio","")))</f>
        <v>#NAME?</v>
      </c>
      <c r="E49" s="1" t="e">
        <f ca="1">IF(A49="","",_xludf.TEXTJOIN(" | ",TRUE,IF(Status_Operativo!J45="","Falta Status_Actual",""),IF(AND(Status_Operativo!J45="ENTREGADO",Status_Operativo!K45=""),"Falta Horario_Entrega_Real",""),IF(AND(Status_Operativo!J45&lt;&gt;"ENTREGADO",Status_Operativo!K45&lt;&gt;""),"Horario_Entrega_Real solo aplica con status ENTREGADO","")))</f>
        <v>#NAME?</v>
      </c>
      <c r="F49" s="1" t="str">
        <f ca="1">IF(A49="","",IF(AND(Status_Operativo!J45="EN PUERTO",Registro_Contenedores!J45-TODAY()&lt;=3,Registro_Contenedores!J45&gt;=TODAY()),"⚠️ ALERTA CAS",""))</f>
        <v/>
      </c>
      <c r="G49" s="1" t="e">
        <f t="shared" ca="1" si="1"/>
        <v>#NAME?</v>
      </c>
      <c r="H49" s="1" t="e">
        <f ca="1">IF(A49="","",_xludf.TEXTJOIN(" | ",TRUE,B49,C49,D49,E49,F49))</f>
        <v>#NAME?</v>
      </c>
    </row>
    <row r="50" spans="1:8" x14ac:dyDescent="0.35">
      <c r="A50" s="1">
        <f>Registro_Contenedores!A46</f>
        <v>0</v>
      </c>
      <c r="B50" s="1" t="e">
        <f ca="1">IF(A50="","",_xludf.TEXTJOIN(" | ",TRUE,IF(Registro_Contenedores!J46="","Falta Fecha_CAS",""),IF(Registro_Contenedores!K46="","Falta Deposito_Vacio","")))</f>
        <v>#NAME?</v>
      </c>
      <c r="C50" s="1" t="e">
        <f ca="1">IF(A50="","",_xludf.TEXTJOIN(" | ",TRUE,IF(Planif_Grupasa!G46="","Falta Plan_Llegada_Grupasa",""),IF(Planif_Grupasa!H46="","Falta Bodega",""),IF(Planif_Grupasa!I46="","Falta Hora_Descarga","")))</f>
        <v>#NAME?</v>
      </c>
      <c r="D50" s="1" t="e">
        <f ca="1">IF(A50="","",_xludf.TEXTJOIN(" | ",TRUE,IF(Planif_Galagans!H46="","Falta Plan_Llegada_Patio",""),IF(Planif_Galagans!I46="","Falta Plan_Devolucion_Vacio","")))</f>
        <v>#NAME?</v>
      </c>
      <c r="E50" s="1" t="e">
        <f ca="1">IF(A50="","",_xludf.TEXTJOIN(" | ",TRUE,IF(Status_Operativo!J46="","Falta Status_Actual",""),IF(AND(Status_Operativo!J46="ENTREGADO",Status_Operativo!K46=""),"Falta Horario_Entrega_Real",""),IF(AND(Status_Operativo!J46&lt;&gt;"ENTREGADO",Status_Operativo!K46&lt;&gt;""),"Horario_Entrega_Real solo aplica con status ENTREGADO","")))</f>
        <v>#NAME?</v>
      </c>
      <c r="F50" s="1" t="str">
        <f ca="1">IF(A50="","",IF(AND(Status_Operativo!J46="EN PUERTO",Registro_Contenedores!J46-TODAY()&lt;=3,Registro_Contenedores!J46&gt;=TODAY()),"⚠️ ALERTA CAS",""))</f>
        <v/>
      </c>
      <c r="G50" s="1" t="e">
        <f t="shared" ca="1" si="1"/>
        <v>#NAME?</v>
      </c>
      <c r="H50" s="1" t="e">
        <f ca="1">IF(A50="","",_xludf.TEXTJOIN(" | ",TRUE,B50,C50,D50,E50,F50))</f>
        <v>#NAME?</v>
      </c>
    </row>
    <row r="51" spans="1:8" x14ac:dyDescent="0.35">
      <c r="A51" s="1">
        <f>Registro_Contenedores!A47</f>
        <v>0</v>
      </c>
      <c r="B51" s="1" t="e">
        <f ca="1">IF(A51="","",_xludf.TEXTJOIN(" | ",TRUE,IF(Registro_Contenedores!J47="","Falta Fecha_CAS",""),IF(Registro_Contenedores!K47="","Falta Deposito_Vacio","")))</f>
        <v>#NAME?</v>
      </c>
      <c r="C51" s="1" t="e">
        <f ca="1">IF(A51="","",_xludf.TEXTJOIN(" | ",TRUE,IF(Planif_Grupasa!G47="","Falta Plan_Llegada_Grupasa",""),IF(Planif_Grupasa!H47="","Falta Bodega",""),IF(Planif_Grupasa!I47="","Falta Hora_Descarga","")))</f>
        <v>#NAME?</v>
      </c>
      <c r="D51" s="1" t="e">
        <f ca="1">IF(A51="","",_xludf.TEXTJOIN(" | ",TRUE,IF(Planif_Galagans!H47="","Falta Plan_Llegada_Patio",""),IF(Planif_Galagans!I47="","Falta Plan_Devolucion_Vacio","")))</f>
        <v>#NAME?</v>
      </c>
      <c r="E51" s="1" t="e">
        <f ca="1">IF(A51="","",_xludf.TEXTJOIN(" | ",TRUE,IF(Status_Operativo!J47="","Falta Status_Actual",""),IF(AND(Status_Operativo!J47="ENTREGADO",Status_Operativo!K47=""),"Falta Horario_Entrega_Real",""),IF(AND(Status_Operativo!J47&lt;&gt;"ENTREGADO",Status_Operativo!K47&lt;&gt;""),"Horario_Entrega_Real solo aplica con status ENTREGADO","")))</f>
        <v>#NAME?</v>
      </c>
      <c r="F51" s="1" t="str">
        <f ca="1">IF(A51="","",IF(AND(Status_Operativo!J47="EN PUERTO",Registro_Contenedores!J47-TODAY()&lt;=3,Registro_Contenedores!J47&gt;=TODAY()),"⚠️ ALERTA CAS",""))</f>
        <v/>
      </c>
      <c r="G51" s="1" t="e">
        <f t="shared" ca="1" si="1"/>
        <v>#NAME?</v>
      </c>
      <c r="H51" s="1" t="e">
        <f ca="1">IF(A51="","",_xludf.TEXTJOIN(" | ",TRUE,B51,C51,D51,E51,F51))</f>
        <v>#NAME?</v>
      </c>
    </row>
    <row r="52" spans="1:8" x14ac:dyDescent="0.35">
      <c r="A52" s="1">
        <f>Registro_Contenedores!A48</f>
        <v>0</v>
      </c>
      <c r="B52" s="1" t="e">
        <f ca="1">IF(A52="","",_xludf.TEXTJOIN(" | ",TRUE,IF(Registro_Contenedores!J48="","Falta Fecha_CAS",""),IF(Registro_Contenedores!K48="","Falta Deposito_Vacio","")))</f>
        <v>#NAME?</v>
      </c>
      <c r="C52" s="1" t="e">
        <f ca="1">IF(A52="","",_xludf.TEXTJOIN(" | ",TRUE,IF(Planif_Grupasa!G48="","Falta Plan_Llegada_Grupasa",""),IF(Planif_Grupasa!H48="","Falta Bodega",""),IF(Planif_Grupasa!I48="","Falta Hora_Descarga","")))</f>
        <v>#NAME?</v>
      </c>
      <c r="D52" s="1" t="e">
        <f ca="1">IF(A52="","",_xludf.TEXTJOIN(" | ",TRUE,IF(Planif_Galagans!H48="","Falta Plan_Llegada_Patio",""),IF(Planif_Galagans!I48="","Falta Plan_Devolucion_Vacio","")))</f>
        <v>#NAME?</v>
      </c>
      <c r="E52" s="1" t="e">
        <f ca="1">IF(A52="","",_xludf.TEXTJOIN(" | ",TRUE,IF(Status_Operativo!J48="","Falta Status_Actual",""),IF(AND(Status_Operativo!J48="ENTREGADO",Status_Operativo!K48=""),"Falta Horario_Entrega_Real",""),IF(AND(Status_Operativo!J48&lt;&gt;"ENTREGADO",Status_Operativo!K48&lt;&gt;""),"Horario_Entrega_Real solo aplica con status ENTREGADO","")))</f>
        <v>#NAME?</v>
      </c>
      <c r="F52" s="1" t="str">
        <f ca="1">IF(A52="","",IF(AND(Status_Operativo!J48="EN PUERTO",Registro_Contenedores!J48-TODAY()&lt;=3,Registro_Contenedores!J48&gt;=TODAY()),"⚠️ ALERTA CAS",""))</f>
        <v/>
      </c>
      <c r="G52" s="1" t="e">
        <f t="shared" ca="1" si="1"/>
        <v>#NAME?</v>
      </c>
      <c r="H52" s="1" t="e">
        <f ca="1">IF(A52="","",_xludf.TEXTJOIN(" | ",TRUE,B52,C52,D52,E52,F52))</f>
        <v>#NAME?</v>
      </c>
    </row>
    <row r="53" spans="1:8" x14ac:dyDescent="0.35">
      <c r="A53" s="1">
        <f>Registro_Contenedores!A49</f>
        <v>0</v>
      </c>
      <c r="B53" s="1" t="e">
        <f ca="1">IF(A53="","",_xludf.TEXTJOIN(" | ",TRUE,IF(Registro_Contenedores!J49="","Falta Fecha_CAS",""),IF(Registro_Contenedores!K49="","Falta Deposito_Vacio","")))</f>
        <v>#NAME?</v>
      </c>
      <c r="C53" s="1" t="e">
        <f ca="1">IF(A53="","",_xludf.TEXTJOIN(" | ",TRUE,IF(Planif_Grupasa!G49="","Falta Plan_Llegada_Grupasa",""),IF(Planif_Grupasa!H49="","Falta Bodega",""),IF(Planif_Grupasa!I49="","Falta Hora_Descarga","")))</f>
        <v>#NAME?</v>
      </c>
      <c r="D53" s="1" t="e">
        <f ca="1">IF(A53="","",_xludf.TEXTJOIN(" | ",TRUE,IF(Planif_Galagans!H49="","Falta Plan_Llegada_Patio",""),IF(Planif_Galagans!I49="","Falta Plan_Devolucion_Vacio","")))</f>
        <v>#NAME?</v>
      </c>
      <c r="E53" s="1" t="e">
        <f ca="1">IF(A53="","",_xludf.TEXTJOIN(" | ",TRUE,IF(Status_Operativo!J49="","Falta Status_Actual",""),IF(AND(Status_Operativo!J49="ENTREGADO",Status_Operativo!K49=""),"Falta Horario_Entrega_Real",""),IF(AND(Status_Operativo!J49&lt;&gt;"ENTREGADO",Status_Operativo!K49&lt;&gt;""),"Horario_Entrega_Real solo aplica con status ENTREGADO","")))</f>
        <v>#NAME?</v>
      </c>
      <c r="F53" s="1" t="str">
        <f ca="1">IF(A53="","",IF(AND(Status_Operativo!J49="EN PUERTO",Registro_Contenedores!J49-TODAY()&lt;=3,Registro_Contenedores!J49&gt;=TODAY()),"⚠️ ALERTA CAS",""))</f>
        <v/>
      </c>
      <c r="G53" s="1" t="e">
        <f t="shared" ca="1" si="1"/>
        <v>#NAME?</v>
      </c>
      <c r="H53" s="1" t="e">
        <f ca="1">IF(A53="","",_xludf.TEXTJOIN(" | ",TRUE,B53,C53,D53,E53,F53))</f>
        <v>#NAME?</v>
      </c>
    </row>
    <row r="54" spans="1:8" x14ac:dyDescent="0.35">
      <c r="A54" s="1">
        <f>Registro_Contenedores!A50</f>
        <v>0</v>
      </c>
      <c r="B54" s="1" t="e">
        <f ca="1">IF(A54="","",_xludf.TEXTJOIN(" | ",TRUE,IF(Registro_Contenedores!J50="","Falta Fecha_CAS",""),IF(Registro_Contenedores!K50="","Falta Deposito_Vacio","")))</f>
        <v>#NAME?</v>
      </c>
      <c r="C54" s="1" t="e">
        <f ca="1">IF(A54="","",_xludf.TEXTJOIN(" | ",TRUE,IF(Planif_Grupasa!G50="","Falta Plan_Llegada_Grupasa",""),IF(Planif_Grupasa!H50="","Falta Bodega",""),IF(Planif_Grupasa!I50="","Falta Hora_Descarga","")))</f>
        <v>#NAME?</v>
      </c>
      <c r="D54" s="1" t="e">
        <f ca="1">IF(A54="","",_xludf.TEXTJOIN(" | ",TRUE,IF(Planif_Galagans!H50="","Falta Plan_Llegada_Patio",""),IF(Planif_Galagans!I50="","Falta Plan_Devolucion_Vacio","")))</f>
        <v>#NAME?</v>
      </c>
      <c r="E54" s="1" t="e">
        <f ca="1">IF(A54="","",_xludf.TEXTJOIN(" | ",TRUE,IF(Status_Operativo!J50="","Falta Status_Actual",""),IF(AND(Status_Operativo!J50="ENTREGADO",Status_Operativo!K50=""),"Falta Horario_Entrega_Real",""),IF(AND(Status_Operativo!J50&lt;&gt;"ENTREGADO",Status_Operativo!K50&lt;&gt;""),"Horario_Entrega_Real solo aplica con status ENTREGADO","")))</f>
        <v>#NAME?</v>
      </c>
      <c r="F54" s="1" t="str">
        <f ca="1">IF(A54="","",IF(AND(Status_Operativo!J50="EN PUERTO",Registro_Contenedores!J50-TODAY()&lt;=3,Registro_Contenedores!J50&gt;=TODAY()),"⚠️ ALERTA CAS",""))</f>
        <v/>
      </c>
      <c r="G54" s="1" t="e">
        <f t="shared" ca="1" si="1"/>
        <v>#NAME?</v>
      </c>
      <c r="H54" s="1" t="e">
        <f ca="1">IF(A54="","",_xludf.TEXTJOIN(" | ",TRUE,B54,C54,D54,E54,F54))</f>
        <v>#NAME?</v>
      </c>
    </row>
    <row r="55" spans="1:8" x14ac:dyDescent="0.35">
      <c r="A55" s="1">
        <f>Registro_Contenedores!A51</f>
        <v>0</v>
      </c>
      <c r="B55" s="1" t="e">
        <f ca="1">IF(A55="","",_xludf.TEXTJOIN(" | ",TRUE,IF(Registro_Contenedores!J51="","Falta Fecha_CAS",""),IF(Registro_Contenedores!K51="","Falta Deposito_Vacio","")))</f>
        <v>#NAME?</v>
      </c>
      <c r="C55" s="1" t="e">
        <f ca="1">IF(A55="","",_xludf.TEXTJOIN(" | ",TRUE,IF(Planif_Grupasa!G51="","Falta Plan_Llegada_Grupasa",""),IF(Planif_Grupasa!H51="","Falta Bodega",""),IF(Planif_Grupasa!I51="","Falta Hora_Descarga","")))</f>
        <v>#NAME?</v>
      </c>
      <c r="D55" s="1" t="e">
        <f ca="1">IF(A55="","",_xludf.TEXTJOIN(" | ",TRUE,IF(Planif_Galagans!H51="","Falta Plan_Llegada_Patio",""),IF(Planif_Galagans!I51="","Falta Plan_Devolucion_Vacio","")))</f>
        <v>#NAME?</v>
      </c>
      <c r="E55" s="1" t="e">
        <f ca="1">IF(A55="","",_xludf.TEXTJOIN(" | ",TRUE,IF(Status_Operativo!J51="","Falta Status_Actual",""),IF(AND(Status_Operativo!J51="ENTREGADO",Status_Operativo!K51=""),"Falta Horario_Entrega_Real",""),IF(AND(Status_Operativo!J51&lt;&gt;"ENTREGADO",Status_Operativo!K51&lt;&gt;""),"Horario_Entrega_Real solo aplica con status ENTREGADO","")))</f>
        <v>#NAME?</v>
      </c>
      <c r="F55" s="1" t="str">
        <f ca="1">IF(A55="","",IF(AND(Status_Operativo!J51="EN PUERTO",Registro_Contenedores!J51-TODAY()&lt;=3,Registro_Contenedores!J51&gt;=TODAY()),"⚠️ ALERTA CAS",""))</f>
        <v/>
      </c>
      <c r="G55" s="1" t="e">
        <f t="shared" ca="1" si="1"/>
        <v>#NAME?</v>
      </c>
      <c r="H55" s="1" t="e">
        <f ca="1">IF(A55="","",_xludf.TEXTJOIN(" | ",TRUE,B55,C55,D55,E55,F55))</f>
        <v>#NAME?</v>
      </c>
    </row>
    <row r="56" spans="1:8" x14ac:dyDescent="0.35">
      <c r="A56" s="1">
        <f>Registro_Contenedores!A52</f>
        <v>0</v>
      </c>
      <c r="B56" s="1" t="e">
        <f ca="1">IF(A56="","",_xludf.TEXTJOIN(" | ",TRUE,IF(Registro_Contenedores!J52="","Falta Fecha_CAS",""),IF(Registro_Contenedores!K52="","Falta Deposito_Vacio","")))</f>
        <v>#NAME?</v>
      </c>
      <c r="C56" s="1" t="e">
        <f ca="1">IF(A56="","",_xludf.TEXTJOIN(" | ",TRUE,IF(Planif_Grupasa!G52="","Falta Plan_Llegada_Grupasa",""),IF(Planif_Grupasa!H52="","Falta Bodega",""),IF(Planif_Grupasa!I52="","Falta Hora_Descarga","")))</f>
        <v>#NAME?</v>
      </c>
      <c r="D56" s="1" t="e">
        <f ca="1">IF(A56="","",_xludf.TEXTJOIN(" | ",TRUE,IF(Planif_Galagans!H52="","Falta Plan_Llegada_Patio",""),IF(Planif_Galagans!I52="","Falta Plan_Devolucion_Vacio","")))</f>
        <v>#NAME?</v>
      </c>
      <c r="E56" s="1" t="e">
        <f ca="1">IF(A56="","",_xludf.TEXTJOIN(" | ",TRUE,IF(Status_Operativo!J52="","Falta Status_Actual",""),IF(AND(Status_Operativo!J52="ENTREGADO",Status_Operativo!K52=""),"Falta Horario_Entrega_Real",""),IF(AND(Status_Operativo!J52&lt;&gt;"ENTREGADO",Status_Operativo!K52&lt;&gt;""),"Horario_Entrega_Real solo aplica con status ENTREGADO","")))</f>
        <v>#NAME?</v>
      </c>
      <c r="F56" s="1" t="str">
        <f ca="1">IF(A56="","",IF(AND(Status_Operativo!J52="EN PUERTO",Registro_Contenedores!J52-TODAY()&lt;=3,Registro_Contenedores!J52&gt;=TODAY()),"⚠️ ALERTA CAS",""))</f>
        <v/>
      </c>
      <c r="G56" s="1" t="e">
        <f t="shared" ca="1" si="1"/>
        <v>#NAME?</v>
      </c>
      <c r="H56" s="1" t="e">
        <f ca="1">IF(A56="","",_xludf.TEXTJOIN(" | ",TRUE,B56,C56,D56,E56,F56))</f>
        <v>#NAME?</v>
      </c>
    </row>
    <row r="57" spans="1:8" x14ac:dyDescent="0.35">
      <c r="A57" s="1">
        <f>Registro_Contenedores!A53</f>
        <v>0</v>
      </c>
      <c r="B57" s="1" t="e">
        <f ca="1">IF(A57="","",_xludf.TEXTJOIN(" | ",TRUE,IF(Registro_Contenedores!J53="","Falta Fecha_CAS",""),IF(Registro_Contenedores!K53="","Falta Deposito_Vacio","")))</f>
        <v>#NAME?</v>
      </c>
      <c r="C57" s="1" t="e">
        <f ca="1">IF(A57="","",_xludf.TEXTJOIN(" | ",TRUE,IF(Planif_Grupasa!G53="","Falta Plan_Llegada_Grupasa",""),IF(Planif_Grupasa!H53="","Falta Bodega",""),IF(Planif_Grupasa!I53="","Falta Hora_Descarga","")))</f>
        <v>#NAME?</v>
      </c>
      <c r="D57" s="1" t="e">
        <f ca="1">IF(A57="","",_xludf.TEXTJOIN(" | ",TRUE,IF(Planif_Galagans!H53="","Falta Plan_Llegada_Patio",""),IF(Planif_Galagans!I53="","Falta Plan_Devolucion_Vacio","")))</f>
        <v>#NAME?</v>
      </c>
      <c r="E57" s="1" t="e">
        <f ca="1">IF(A57="","",_xludf.TEXTJOIN(" | ",TRUE,IF(Status_Operativo!J53="","Falta Status_Actual",""),IF(AND(Status_Operativo!J53="ENTREGADO",Status_Operativo!K53=""),"Falta Horario_Entrega_Real",""),IF(AND(Status_Operativo!J53&lt;&gt;"ENTREGADO",Status_Operativo!K53&lt;&gt;""),"Horario_Entrega_Real solo aplica con status ENTREGADO","")))</f>
        <v>#NAME?</v>
      </c>
      <c r="F57" s="1" t="str">
        <f ca="1">IF(A57="","",IF(AND(Status_Operativo!J53="EN PUERTO",Registro_Contenedores!J53-TODAY()&lt;=3,Registro_Contenedores!J53&gt;=TODAY()),"⚠️ ALERTA CAS",""))</f>
        <v/>
      </c>
      <c r="G57" s="1" t="e">
        <f t="shared" ca="1" si="1"/>
        <v>#NAME?</v>
      </c>
      <c r="H57" s="1" t="e">
        <f ca="1">IF(A57="","",_xludf.TEXTJOIN(" | ",TRUE,B57,C57,D57,E57,F57))</f>
        <v>#NAME?</v>
      </c>
    </row>
    <row r="58" spans="1:8" x14ac:dyDescent="0.35">
      <c r="A58" s="1">
        <f>Registro_Contenedores!A54</f>
        <v>0</v>
      </c>
      <c r="B58" s="1" t="e">
        <f ca="1">IF(A58="","",_xludf.TEXTJOIN(" | ",TRUE,IF(Registro_Contenedores!J54="","Falta Fecha_CAS",""),IF(Registro_Contenedores!K54="","Falta Deposito_Vacio","")))</f>
        <v>#NAME?</v>
      </c>
      <c r="C58" s="1" t="e">
        <f ca="1">IF(A58="","",_xludf.TEXTJOIN(" | ",TRUE,IF(Planif_Grupasa!G54="","Falta Plan_Llegada_Grupasa",""),IF(Planif_Grupasa!H54="","Falta Bodega",""),IF(Planif_Grupasa!I54="","Falta Hora_Descarga","")))</f>
        <v>#NAME?</v>
      </c>
      <c r="D58" s="1" t="e">
        <f ca="1">IF(A58="","",_xludf.TEXTJOIN(" | ",TRUE,IF(Planif_Galagans!H54="","Falta Plan_Llegada_Patio",""),IF(Planif_Galagans!I54="","Falta Plan_Devolucion_Vacio","")))</f>
        <v>#NAME?</v>
      </c>
      <c r="E58" s="1" t="e">
        <f ca="1">IF(A58="","",_xludf.TEXTJOIN(" | ",TRUE,IF(Status_Operativo!J54="","Falta Status_Actual",""),IF(AND(Status_Operativo!J54="ENTREGADO",Status_Operativo!K54=""),"Falta Horario_Entrega_Real",""),IF(AND(Status_Operativo!J54&lt;&gt;"ENTREGADO",Status_Operativo!K54&lt;&gt;""),"Horario_Entrega_Real solo aplica con status ENTREGADO","")))</f>
        <v>#NAME?</v>
      </c>
      <c r="F58" s="1" t="str">
        <f ca="1">IF(A58="","",IF(AND(Status_Operativo!J54="EN PUERTO",Registro_Contenedores!J54-TODAY()&lt;=3,Registro_Contenedores!J54&gt;=TODAY()),"⚠️ ALERTA CAS",""))</f>
        <v/>
      </c>
      <c r="G58" s="1" t="e">
        <f t="shared" ca="1" si="1"/>
        <v>#NAME?</v>
      </c>
      <c r="H58" s="1" t="e">
        <f ca="1">IF(A58="","",_xludf.TEXTJOIN(" | ",TRUE,B58,C58,D58,E58,F58))</f>
        <v>#NAME?</v>
      </c>
    </row>
    <row r="59" spans="1:8" x14ac:dyDescent="0.35">
      <c r="A59" s="1">
        <f>Registro_Contenedores!A55</f>
        <v>0</v>
      </c>
      <c r="B59" s="1" t="e">
        <f ca="1">IF(A59="","",_xludf.TEXTJOIN(" | ",TRUE,IF(Registro_Contenedores!J55="","Falta Fecha_CAS",""),IF(Registro_Contenedores!K55="","Falta Deposito_Vacio","")))</f>
        <v>#NAME?</v>
      </c>
      <c r="C59" s="1" t="e">
        <f ca="1">IF(A59="","",_xludf.TEXTJOIN(" | ",TRUE,IF(Planif_Grupasa!G55="","Falta Plan_Llegada_Grupasa",""),IF(Planif_Grupasa!H55="","Falta Bodega",""),IF(Planif_Grupasa!I55="","Falta Hora_Descarga","")))</f>
        <v>#NAME?</v>
      </c>
      <c r="D59" s="1" t="e">
        <f ca="1">IF(A59="","",_xludf.TEXTJOIN(" | ",TRUE,IF(Planif_Galagans!H55="","Falta Plan_Llegada_Patio",""),IF(Planif_Galagans!I55="","Falta Plan_Devolucion_Vacio","")))</f>
        <v>#NAME?</v>
      </c>
      <c r="E59" s="1" t="e">
        <f ca="1">IF(A59="","",_xludf.TEXTJOIN(" | ",TRUE,IF(Status_Operativo!J55="","Falta Status_Actual",""),IF(AND(Status_Operativo!J55="ENTREGADO",Status_Operativo!K55=""),"Falta Horario_Entrega_Real",""),IF(AND(Status_Operativo!J55&lt;&gt;"ENTREGADO",Status_Operativo!K55&lt;&gt;""),"Horario_Entrega_Real solo aplica con status ENTREGADO","")))</f>
        <v>#NAME?</v>
      </c>
      <c r="F59" s="1" t="str">
        <f ca="1">IF(A59="","",IF(AND(Status_Operativo!J55="EN PUERTO",Registro_Contenedores!J55-TODAY()&lt;=3,Registro_Contenedores!J55&gt;=TODAY()),"⚠️ ALERTA CAS",""))</f>
        <v/>
      </c>
      <c r="G59" s="1" t="e">
        <f t="shared" ca="1" si="1"/>
        <v>#NAME?</v>
      </c>
      <c r="H59" s="1" t="e">
        <f ca="1">IF(A59="","",_xludf.TEXTJOIN(" | ",TRUE,B59,C59,D59,E59,F59))</f>
        <v>#NAME?</v>
      </c>
    </row>
    <row r="60" spans="1:8" x14ac:dyDescent="0.35">
      <c r="A60" s="1">
        <f>Registro_Contenedores!A56</f>
        <v>0</v>
      </c>
      <c r="B60" s="1" t="e">
        <f ca="1">IF(A60="","",_xludf.TEXTJOIN(" | ",TRUE,IF(Registro_Contenedores!J56="","Falta Fecha_CAS",""),IF(Registro_Contenedores!K56="","Falta Deposito_Vacio","")))</f>
        <v>#NAME?</v>
      </c>
      <c r="C60" s="1" t="e">
        <f ca="1">IF(A60="","",_xludf.TEXTJOIN(" | ",TRUE,IF(Planif_Grupasa!G56="","Falta Plan_Llegada_Grupasa",""),IF(Planif_Grupasa!H56="","Falta Bodega",""),IF(Planif_Grupasa!I56="","Falta Hora_Descarga","")))</f>
        <v>#NAME?</v>
      </c>
      <c r="D60" s="1" t="e">
        <f ca="1">IF(A60="","",_xludf.TEXTJOIN(" | ",TRUE,IF(Planif_Galagans!H56="","Falta Plan_Llegada_Patio",""),IF(Planif_Galagans!I56="","Falta Plan_Devolucion_Vacio","")))</f>
        <v>#NAME?</v>
      </c>
      <c r="E60" s="1" t="e">
        <f ca="1">IF(A60="","",_xludf.TEXTJOIN(" | ",TRUE,IF(Status_Operativo!J56="","Falta Status_Actual",""),IF(AND(Status_Operativo!J56="ENTREGADO",Status_Operativo!K56=""),"Falta Horario_Entrega_Real",""),IF(AND(Status_Operativo!J56&lt;&gt;"ENTREGADO",Status_Operativo!K56&lt;&gt;""),"Horario_Entrega_Real solo aplica con status ENTREGADO","")))</f>
        <v>#NAME?</v>
      </c>
      <c r="F60" s="1" t="str">
        <f ca="1">IF(A60="","",IF(AND(Status_Operativo!J56="EN PUERTO",Registro_Contenedores!J56-TODAY()&lt;=3,Registro_Contenedores!J56&gt;=TODAY()),"⚠️ ALERTA CAS",""))</f>
        <v/>
      </c>
      <c r="G60" s="1" t="e">
        <f t="shared" ca="1" si="1"/>
        <v>#NAME?</v>
      </c>
      <c r="H60" s="1" t="e">
        <f ca="1">IF(A60="","",_xludf.TEXTJOIN(" | ",TRUE,B60,C60,D60,E60,F60))</f>
        <v>#NAME?</v>
      </c>
    </row>
    <row r="61" spans="1:8" x14ac:dyDescent="0.35">
      <c r="A61" s="1">
        <f>Registro_Contenedores!A57</f>
        <v>0</v>
      </c>
      <c r="B61" s="1" t="e">
        <f ca="1">IF(A61="","",_xludf.TEXTJOIN(" | ",TRUE,IF(Registro_Contenedores!J57="","Falta Fecha_CAS",""),IF(Registro_Contenedores!K57="","Falta Deposito_Vacio","")))</f>
        <v>#NAME?</v>
      </c>
      <c r="C61" s="1" t="e">
        <f ca="1">IF(A61="","",_xludf.TEXTJOIN(" | ",TRUE,IF(Planif_Grupasa!G57="","Falta Plan_Llegada_Grupasa",""),IF(Planif_Grupasa!H57="","Falta Bodega",""),IF(Planif_Grupasa!I57="","Falta Hora_Descarga","")))</f>
        <v>#NAME?</v>
      </c>
      <c r="D61" s="1" t="e">
        <f ca="1">IF(A61="","",_xludf.TEXTJOIN(" | ",TRUE,IF(Planif_Galagans!H57="","Falta Plan_Llegada_Patio",""),IF(Planif_Galagans!I57="","Falta Plan_Devolucion_Vacio","")))</f>
        <v>#NAME?</v>
      </c>
      <c r="E61" s="1" t="e">
        <f ca="1">IF(A61="","",_xludf.TEXTJOIN(" | ",TRUE,IF(Status_Operativo!J57="","Falta Status_Actual",""),IF(AND(Status_Operativo!J57="ENTREGADO",Status_Operativo!K57=""),"Falta Horario_Entrega_Real",""),IF(AND(Status_Operativo!J57&lt;&gt;"ENTREGADO",Status_Operativo!K57&lt;&gt;""),"Horario_Entrega_Real solo aplica con status ENTREGADO","")))</f>
        <v>#NAME?</v>
      </c>
      <c r="F61" s="1" t="str">
        <f ca="1">IF(A61="","",IF(AND(Status_Operativo!J57="EN PUERTO",Registro_Contenedores!J57-TODAY()&lt;=3,Registro_Contenedores!J57&gt;=TODAY()),"⚠️ ALERTA CAS",""))</f>
        <v/>
      </c>
      <c r="G61" s="1" t="e">
        <f t="shared" ca="1" si="1"/>
        <v>#NAME?</v>
      </c>
      <c r="H61" s="1" t="e">
        <f ca="1">IF(A61="","",_xludf.TEXTJOIN(" | ",TRUE,B61,C61,D61,E61,F61))</f>
        <v>#NAME?</v>
      </c>
    </row>
    <row r="62" spans="1:8" x14ac:dyDescent="0.35">
      <c r="A62" s="1">
        <f>Registro_Contenedores!A58</f>
        <v>0</v>
      </c>
      <c r="B62" s="1" t="e">
        <f ca="1">IF(A62="","",_xludf.TEXTJOIN(" | ",TRUE,IF(Registro_Contenedores!J58="","Falta Fecha_CAS",""),IF(Registro_Contenedores!K58="","Falta Deposito_Vacio","")))</f>
        <v>#NAME?</v>
      </c>
      <c r="C62" s="1" t="e">
        <f ca="1">IF(A62="","",_xludf.TEXTJOIN(" | ",TRUE,IF(Planif_Grupasa!G58="","Falta Plan_Llegada_Grupasa",""),IF(Planif_Grupasa!H58="","Falta Bodega",""),IF(Planif_Grupasa!I58="","Falta Hora_Descarga","")))</f>
        <v>#NAME?</v>
      </c>
      <c r="D62" s="1" t="e">
        <f ca="1">IF(A62="","",_xludf.TEXTJOIN(" | ",TRUE,IF(Planif_Galagans!H58="","Falta Plan_Llegada_Patio",""),IF(Planif_Galagans!I58="","Falta Plan_Devolucion_Vacio","")))</f>
        <v>#NAME?</v>
      </c>
      <c r="E62" s="1" t="e">
        <f ca="1">IF(A62="","",_xludf.TEXTJOIN(" | ",TRUE,IF(Status_Operativo!J58="","Falta Status_Actual",""),IF(AND(Status_Operativo!J58="ENTREGADO",Status_Operativo!K58=""),"Falta Horario_Entrega_Real",""),IF(AND(Status_Operativo!J58&lt;&gt;"ENTREGADO",Status_Operativo!K58&lt;&gt;""),"Horario_Entrega_Real solo aplica con status ENTREGADO","")))</f>
        <v>#NAME?</v>
      </c>
      <c r="F62" s="1" t="str">
        <f ca="1">IF(A62="","",IF(AND(Status_Operativo!J58="EN PUERTO",Registro_Contenedores!J58-TODAY()&lt;=3,Registro_Contenedores!J58&gt;=TODAY()),"⚠️ ALERTA CAS",""))</f>
        <v/>
      </c>
      <c r="G62" s="1" t="e">
        <f t="shared" ca="1" si="1"/>
        <v>#NAME?</v>
      </c>
      <c r="H62" s="1" t="e">
        <f ca="1">IF(A62="","",_xludf.TEXTJOIN(" | ",TRUE,B62,C62,D62,E62,F62))</f>
        <v>#NAME?</v>
      </c>
    </row>
    <row r="63" spans="1:8" x14ac:dyDescent="0.35">
      <c r="A63" s="1">
        <f>Registro_Contenedores!A59</f>
        <v>0</v>
      </c>
      <c r="B63" s="1" t="e">
        <f ca="1">IF(A63="","",_xludf.TEXTJOIN(" | ",TRUE,IF(Registro_Contenedores!J59="","Falta Fecha_CAS",""),IF(Registro_Contenedores!K59="","Falta Deposito_Vacio","")))</f>
        <v>#NAME?</v>
      </c>
      <c r="C63" s="1" t="e">
        <f ca="1">IF(A63="","",_xludf.TEXTJOIN(" | ",TRUE,IF(Planif_Grupasa!G59="","Falta Plan_Llegada_Grupasa",""),IF(Planif_Grupasa!H59="","Falta Bodega",""),IF(Planif_Grupasa!I59="","Falta Hora_Descarga","")))</f>
        <v>#NAME?</v>
      </c>
      <c r="D63" s="1" t="e">
        <f ca="1">IF(A63="","",_xludf.TEXTJOIN(" | ",TRUE,IF(Planif_Galagans!H59="","Falta Plan_Llegada_Patio",""),IF(Planif_Galagans!I59="","Falta Plan_Devolucion_Vacio","")))</f>
        <v>#NAME?</v>
      </c>
      <c r="E63" s="1" t="e">
        <f ca="1">IF(A63="","",_xludf.TEXTJOIN(" | ",TRUE,IF(Status_Operativo!J59="","Falta Status_Actual",""),IF(AND(Status_Operativo!J59="ENTREGADO",Status_Operativo!K59=""),"Falta Horario_Entrega_Real",""),IF(AND(Status_Operativo!J59&lt;&gt;"ENTREGADO",Status_Operativo!K59&lt;&gt;""),"Horario_Entrega_Real solo aplica con status ENTREGADO","")))</f>
        <v>#NAME?</v>
      </c>
      <c r="F63" s="1" t="str">
        <f ca="1">IF(A63="","",IF(AND(Status_Operativo!J59="EN PUERTO",Registro_Contenedores!J59-TODAY()&lt;=3,Registro_Contenedores!J59&gt;=TODAY()),"⚠️ ALERTA CAS",""))</f>
        <v/>
      </c>
      <c r="G63" s="1" t="e">
        <f t="shared" ca="1" si="1"/>
        <v>#NAME?</v>
      </c>
      <c r="H63" s="1" t="e">
        <f ca="1">IF(A63="","",_xludf.TEXTJOIN(" | ",TRUE,B63,C63,D63,E63,F63))</f>
        <v>#NAME?</v>
      </c>
    </row>
    <row r="64" spans="1:8" x14ac:dyDescent="0.35">
      <c r="A64" s="1">
        <f>Registro_Contenedores!A60</f>
        <v>0</v>
      </c>
      <c r="B64" s="1" t="e">
        <f ca="1">IF(A64="","",_xludf.TEXTJOIN(" | ",TRUE,IF(Registro_Contenedores!J60="","Falta Fecha_CAS",""),IF(Registro_Contenedores!K60="","Falta Deposito_Vacio","")))</f>
        <v>#NAME?</v>
      </c>
      <c r="C64" s="1" t="e">
        <f ca="1">IF(A64="","",_xludf.TEXTJOIN(" | ",TRUE,IF(Planif_Grupasa!G60="","Falta Plan_Llegada_Grupasa",""),IF(Planif_Grupasa!H60="","Falta Bodega",""),IF(Planif_Grupasa!I60="","Falta Hora_Descarga","")))</f>
        <v>#NAME?</v>
      </c>
      <c r="D64" s="1" t="e">
        <f ca="1">IF(A64="","",_xludf.TEXTJOIN(" | ",TRUE,IF(Planif_Galagans!H60="","Falta Plan_Llegada_Patio",""),IF(Planif_Galagans!I60="","Falta Plan_Devolucion_Vacio","")))</f>
        <v>#NAME?</v>
      </c>
      <c r="E64" s="1" t="e">
        <f ca="1">IF(A64="","",_xludf.TEXTJOIN(" | ",TRUE,IF(Status_Operativo!J60="","Falta Status_Actual",""),IF(AND(Status_Operativo!J60="ENTREGADO",Status_Operativo!K60=""),"Falta Horario_Entrega_Real",""),IF(AND(Status_Operativo!J60&lt;&gt;"ENTREGADO",Status_Operativo!K60&lt;&gt;""),"Horario_Entrega_Real solo aplica con status ENTREGADO","")))</f>
        <v>#NAME?</v>
      </c>
      <c r="F64" s="1" t="str">
        <f ca="1">IF(A64="","",IF(AND(Status_Operativo!J60="EN PUERTO",Registro_Contenedores!J60-TODAY()&lt;=3,Registro_Contenedores!J60&gt;=TODAY()),"⚠️ ALERTA CAS",""))</f>
        <v/>
      </c>
      <c r="G64" s="1" t="e">
        <f t="shared" ca="1" si="1"/>
        <v>#NAME?</v>
      </c>
      <c r="H64" s="1" t="e">
        <f ca="1">IF(A64="","",_xludf.TEXTJOIN(" | ",TRUE,B64,C64,D64,E64,F64))</f>
        <v>#NAME?</v>
      </c>
    </row>
    <row r="65" spans="1:8" x14ac:dyDescent="0.35">
      <c r="A65" s="1">
        <f>Registro_Contenedores!A61</f>
        <v>0</v>
      </c>
      <c r="B65" s="1" t="e">
        <f ca="1">IF(A65="","",_xludf.TEXTJOIN(" | ",TRUE,IF(Registro_Contenedores!J61="","Falta Fecha_CAS",""),IF(Registro_Contenedores!K61="","Falta Deposito_Vacio","")))</f>
        <v>#NAME?</v>
      </c>
      <c r="C65" s="1" t="e">
        <f ca="1">IF(A65="","",_xludf.TEXTJOIN(" | ",TRUE,IF(Planif_Grupasa!G61="","Falta Plan_Llegada_Grupasa",""),IF(Planif_Grupasa!H61="","Falta Bodega",""),IF(Planif_Grupasa!I61="","Falta Hora_Descarga","")))</f>
        <v>#NAME?</v>
      </c>
      <c r="D65" s="1" t="e">
        <f ca="1">IF(A65="","",_xludf.TEXTJOIN(" | ",TRUE,IF(Planif_Galagans!H61="","Falta Plan_Llegada_Patio",""),IF(Planif_Galagans!I61="","Falta Plan_Devolucion_Vacio","")))</f>
        <v>#NAME?</v>
      </c>
      <c r="E65" s="1" t="e">
        <f ca="1">IF(A65="","",_xludf.TEXTJOIN(" | ",TRUE,IF(Status_Operativo!J61="","Falta Status_Actual",""),IF(AND(Status_Operativo!J61="ENTREGADO",Status_Operativo!K61=""),"Falta Horario_Entrega_Real",""),IF(AND(Status_Operativo!J61&lt;&gt;"ENTREGADO",Status_Operativo!K61&lt;&gt;""),"Horario_Entrega_Real solo aplica con status ENTREGADO","")))</f>
        <v>#NAME?</v>
      </c>
      <c r="F65" s="1" t="str">
        <f ca="1">IF(A65="","",IF(AND(Status_Operativo!J61="EN PUERTO",Registro_Contenedores!J61-TODAY()&lt;=3,Registro_Contenedores!J61&gt;=TODAY()),"⚠️ ALERTA CAS",""))</f>
        <v/>
      </c>
      <c r="G65" s="1" t="e">
        <f t="shared" ca="1" si="1"/>
        <v>#NAME?</v>
      </c>
      <c r="H65" s="1" t="e">
        <f ca="1">IF(A65="","",_xludf.TEXTJOIN(" | ",TRUE,B65,C65,D65,E65,F65))</f>
        <v>#NAME?</v>
      </c>
    </row>
    <row r="66" spans="1:8" x14ac:dyDescent="0.35">
      <c r="A66" s="1">
        <f>Registro_Contenedores!A62</f>
        <v>0</v>
      </c>
      <c r="B66" s="1" t="e">
        <f ca="1">IF(A66="","",_xludf.TEXTJOIN(" | ",TRUE,IF(Registro_Contenedores!J62="","Falta Fecha_CAS",""),IF(Registro_Contenedores!K62="","Falta Deposito_Vacio","")))</f>
        <v>#NAME?</v>
      </c>
      <c r="C66" s="1" t="e">
        <f ca="1">IF(A66="","",_xludf.TEXTJOIN(" | ",TRUE,IF(Planif_Grupasa!G62="","Falta Plan_Llegada_Grupasa",""),IF(Planif_Grupasa!H62="","Falta Bodega",""),IF(Planif_Grupasa!I62="","Falta Hora_Descarga","")))</f>
        <v>#NAME?</v>
      </c>
      <c r="D66" s="1" t="e">
        <f ca="1">IF(A66="","",_xludf.TEXTJOIN(" | ",TRUE,IF(Planif_Galagans!H62="","Falta Plan_Llegada_Patio",""),IF(Planif_Galagans!I62="","Falta Plan_Devolucion_Vacio","")))</f>
        <v>#NAME?</v>
      </c>
      <c r="E66" s="1" t="e">
        <f ca="1">IF(A66="","",_xludf.TEXTJOIN(" | ",TRUE,IF(Status_Operativo!J62="","Falta Status_Actual",""),IF(AND(Status_Operativo!J62="ENTREGADO",Status_Operativo!K62=""),"Falta Horario_Entrega_Real",""),IF(AND(Status_Operativo!J62&lt;&gt;"ENTREGADO",Status_Operativo!K62&lt;&gt;""),"Horario_Entrega_Real solo aplica con status ENTREGADO","")))</f>
        <v>#NAME?</v>
      </c>
      <c r="F66" s="1" t="str">
        <f ca="1">IF(A66="","",IF(AND(Status_Operativo!J62="EN PUERTO",Registro_Contenedores!J62-TODAY()&lt;=3,Registro_Contenedores!J62&gt;=TODAY()),"⚠️ ALERTA CAS",""))</f>
        <v/>
      </c>
      <c r="G66" s="1" t="e">
        <f t="shared" ca="1" si="1"/>
        <v>#NAME?</v>
      </c>
      <c r="H66" s="1" t="e">
        <f ca="1">IF(A66="","",_xludf.TEXTJOIN(" | ",TRUE,B66,C66,D66,E66,F66))</f>
        <v>#NAME?</v>
      </c>
    </row>
    <row r="67" spans="1:8" x14ac:dyDescent="0.35">
      <c r="A67" s="1">
        <f>Registro_Contenedores!A63</f>
        <v>0</v>
      </c>
      <c r="B67" s="1" t="e">
        <f ca="1">IF(A67="","",_xludf.TEXTJOIN(" | ",TRUE,IF(Registro_Contenedores!J63="","Falta Fecha_CAS",""),IF(Registro_Contenedores!K63="","Falta Deposito_Vacio","")))</f>
        <v>#NAME?</v>
      </c>
      <c r="C67" s="1" t="e">
        <f ca="1">IF(A67="","",_xludf.TEXTJOIN(" | ",TRUE,IF(Planif_Grupasa!G63="","Falta Plan_Llegada_Grupasa",""),IF(Planif_Grupasa!H63="","Falta Bodega",""),IF(Planif_Grupasa!I63="","Falta Hora_Descarga","")))</f>
        <v>#NAME?</v>
      </c>
      <c r="D67" s="1" t="e">
        <f ca="1">IF(A67="","",_xludf.TEXTJOIN(" | ",TRUE,IF(Planif_Galagans!H63="","Falta Plan_Llegada_Patio",""),IF(Planif_Galagans!I63="","Falta Plan_Devolucion_Vacio","")))</f>
        <v>#NAME?</v>
      </c>
      <c r="E67" s="1" t="e">
        <f ca="1">IF(A67="","",_xludf.TEXTJOIN(" | ",TRUE,IF(Status_Operativo!J63="","Falta Status_Actual",""),IF(AND(Status_Operativo!J63="ENTREGADO",Status_Operativo!K63=""),"Falta Horario_Entrega_Real",""),IF(AND(Status_Operativo!J63&lt;&gt;"ENTREGADO",Status_Operativo!K63&lt;&gt;""),"Horario_Entrega_Real solo aplica con status ENTREGADO","")))</f>
        <v>#NAME?</v>
      </c>
      <c r="F67" s="1" t="str">
        <f ca="1">IF(A67="","",IF(AND(Status_Operativo!J63="EN PUERTO",Registro_Contenedores!J63-TODAY()&lt;=3,Registro_Contenedores!J63&gt;=TODAY()),"⚠️ ALERTA CAS",""))</f>
        <v/>
      </c>
      <c r="G67" s="1" t="e">
        <f t="shared" ca="1" si="1"/>
        <v>#NAME?</v>
      </c>
      <c r="H67" s="1" t="e">
        <f ca="1">IF(A67="","",_xludf.TEXTJOIN(" | ",TRUE,B67,C67,D67,E67,F67))</f>
        <v>#NAME?</v>
      </c>
    </row>
    <row r="68" spans="1:8" x14ac:dyDescent="0.35">
      <c r="A68" s="1">
        <f>Registro_Contenedores!A64</f>
        <v>0</v>
      </c>
      <c r="B68" s="1" t="e">
        <f ca="1">IF(A68="","",_xludf.TEXTJOIN(" | ",TRUE,IF(Registro_Contenedores!J64="","Falta Fecha_CAS",""),IF(Registro_Contenedores!K64="","Falta Deposito_Vacio","")))</f>
        <v>#NAME?</v>
      </c>
      <c r="C68" s="1" t="e">
        <f ca="1">IF(A68="","",_xludf.TEXTJOIN(" | ",TRUE,IF(Planif_Grupasa!G64="","Falta Plan_Llegada_Grupasa",""),IF(Planif_Grupasa!H64="","Falta Bodega",""),IF(Planif_Grupasa!I64="","Falta Hora_Descarga","")))</f>
        <v>#NAME?</v>
      </c>
      <c r="D68" s="1" t="e">
        <f ca="1">IF(A68="","",_xludf.TEXTJOIN(" | ",TRUE,IF(Planif_Galagans!H64="","Falta Plan_Llegada_Patio",""),IF(Planif_Galagans!I64="","Falta Plan_Devolucion_Vacio","")))</f>
        <v>#NAME?</v>
      </c>
      <c r="E68" s="1" t="e">
        <f ca="1">IF(A68="","",_xludf.TEXTJOIN(" | ",TRUE,IF(Status_Operativo!J64="","Falta Status_Actual",""),IF(AND(Status_Operativo!J64="ENTREGADO",Status_Operativo!K64=""),"Falta Horario_Entrega_Real",""),IF(AND(Status_Operativo!J64&lt;&gt;"ENTREGADO",Status_Operativo!K64&lt;&gt;""),"Horario_Entrega_Real solo aplica con status ENTREGADO","")))</f>
        <v>#NAME?</v>
      </c>
      <c r="F68" s="1" t="str">
        <f ca="1">IF(A68="","",IF(AND(Status_Operativo!J64="EN PUERTO",Registro_Contenedores!J64-TODAY()&lt;=3,Registro_Contenedores!J64&gt;=TODAY()),"⚠️ ALERTA CAS",""))</f>
        <v/>
      </c>
      <c r="G68" s="1" t="e">
        <f t="shared" ca="1" si="1"/>
        <v>#NAME?</v>
      </c>
      <c r="H68" s="1" t="e">
        <f ca="1">IF(A68="","",_xludf.TEXTJOIN(" | ",TRUE,B68,C68,D68,E68,F68))</f>
        <v>#NAME?</v>
      </c>
    </row>
    <row r="69" spans="1:8" x14ac:dyDescent="0.35">
      <c r="A69" s="1">
        <f>Registro_Contenedores!A65</f>
        <v>0</v>
      </c>
      <c r="B69" s="1" t="e">
        <f ca="1">IF(A69="","",_xludf.TEXTJOIN(" | ",TRUE,IF(Registro_Contenedores!J65="","Falta Fecha_CAS",""),IF(Registro_Contenedores!K65="","Falta Deposito_Vacio","")))</f>
        <v>#NAME?</v>
      </c>
      <c r="C69" s="1" t="e">
        <f ca="1">IF(A69="","",_xludf.TEXTJOIN(" | ",TRUE,IF(Planif_Grupasa!G65="","Falta Plan_Llegada_Grupasa",""),IF(Planif_Grupasa!H65="","Falta Bodega",""),IF(Planif_Grupasa!I65="","Falta Hora_Descarga","")))</f>
        <v>#NAME?</v>
      </c>
      <c r="D69" s="1" t="e">
        <f ca="1">IF(A69="","",_xludf.TEXTJOIN(" | ",TRUE,IF(Planif_Galagans!H65="","Falta Plan_Llegada_Patio",""),IF(Planif_Galagans!I65="","Falta Plan_Devolucion_Vacio","")))</f>
        <v>#NAME?</v>
      </c>
      <c r="E69" s="1" t="e">
        <f ca="1">IF(A69="","",_xludf.TEXTJOIN(" | ",TRUE,IF(Status_Operativo!J65="","Falta Status_Actual",""),IF(AND(Status_Operativo!J65="ENTREGADO",Status_Operativo!K65=""),"Falta Horario_Entrega_Real",""),IF(AND(Status_Operativo!J65&lt;&gt;"ENTREGADO",Status_Operativo!K65&lt;&gt;""),"Horario_Entrega_Real solo aplica con status ENTREGADO","")))</f>
        <v>#NAME?</v>
      </c>
      <c r="F69" s="1" t="str">
        <f ca="1">IF(A69="","",IF(AND(Status_Operativo!J65="EN PUERTO",Registro_Contenedores!J65-TODAY()&lt;=3,Registro_Contenedores!J65&gt;=TODAY()),"⚠️ ALERTA CAS",""))</f>
        <v/>
      </c>
      <c r="G69" s="1" t="e">
        <f t="shared" ca="1" si="1"/>
        <v>#NAME?</v>
      </c>
      <c r="H69" s="1" t="e">
        <f ca="1">IF(A69="","",_xludf.TEXTJOIN(" | ",TRUE,B69,C69,D69,E69,F69))</f>
        <v>#NAME?</v>
      </c>
    </row>
    <row r="70" spans="1:8" x14ac:dyDescent="0.35">
      <c r="A70" s="1">
        <f>Registro_Contenedores!A66</f>
        <v>0</v>
      </c>
      <c r="B70" s="1" t="e">
        <f ca="1">IF(A70="","",_xludf.TEXTJOIN(" | ",TRUE,IF(Registro_Contenedores!J66="","Falta Fecha_CAS",""),IF(Registro_Contenedores!K66="","Falta Deposito_Vacio","")))</f>
        <v>#NAME?</v>
      </c>
      <c r="C70" s="1" t="e">
        <f ca="1">IF(A70="","",_xludf.TEXTJOIN(" | ",TRUE,IF(Planif_Grupasa!G66="","Falta Plan_Llegada_Grupasa",""),IF(Planif_Grupasa!H66="","Falta Bodega",""),IF(Planif_Grupasa!I66="","Falta Hora_Descarga","")))</f>
        <v>#NAME?</v>
      </c>
      <c r="D70" s="1" t="e">
        <f ca="1">IF(A70="","",_xludf.TEXTJOIN(" | ",TRUE,IF(Planif_Galagans!H66="","Falta Plan_Llegada_Patio",""),IF(Planif_Galagans!I66="","Falta Plan_Devolucion_Vacio","")))</f>
        <v>#NAME?</v>
      </c>
      <c r="E70" s="1" t="e">
        <f ca="1">IF(A70="","",_xludf.TEXTJOIN(" | ",TRUE,IF(Status_Operativo!J66="","Falta Status_Actual",""),IF(AND(Status_Operativo!J66="ENTREGADO",Status_Operativo!K66=""),"Falta Horario_Entrega_Real",""),IF(AND(Status_Operativo!J66&lt;&gt;"ENTREGADO",Status_Operativo!K66&lt;&gt;""),"Horario_Entrega_Real solo aplica con status ENTREGADO","")))</f>
        <v>#NAME?</v>
      </c>
      <c r="F70" s="1" t="str">
        <f ca="1">IF(A70="","",IF(AND(Status_Operativo!J66="EN PUERTO",Registro_Contenedores!J66-TODAY()&lt;=3,Registro_Contenedores!J66&gt;=TODAY()),"⚠️ ALERTA CAS",""))</f>
        <v/>
      </c>
      <c r="G70" s="1" t="e">
        <f t="shared" ca="1" si="1"/>
        <v>#NAME?</v>
      </c>
      <c r="H70" s="1" t="e">
        <f ca="1">IF(A70="","",_xludf.TEXTJOIN(" | ",TRUE,B70,C70,D70,E70,F70))</f>
        <v>#NAME?</v>
      </c>
    </row>
    <row r="71" spans="1:8" x14ac:dyDescent="0.35">
      <c r="A71" s="1">
        <f>Registro_Contenedores!A67</f>
        <v>0</v>
      </c>
      <c r="B71" s="1" t="e">
        <f ca="1">IF(A71="","",_xludf.TEXTJOIN(" | ",TRUE,IF(Registro_Contenedores!J67="","Falta Fecha_CAS",""),IF(Registro_Contenedores!K67="","Falta Deposito_Vacio","")))</f>
        <v>#NAME?</v>
      </c>
      <c r="C71" s="1" t="e">
        <f ca="1">IF(A71="","",_xludf.TEXTJOIN(" | ",TRUE,IF(Planif_Grupasa!G67="","Falta Plan_Llegada_Grupasa",""),IF(Planif_Grupasa!H67="","Falta Bodega",""),IF(Planif_Grupasa!I67="","Falta Hora_Descarga","")))</f>
        <v>#NAME?</v>
      </c>
      <c r="D71" s="1" t="e">
        <f ca="1">IF(A71="","",_xludf.TEXTJOIN(" | ",TRUE,IF(Planif_Galagans!H67="","Falta Plan_Llegada_Patio",""),IF(Planif_Galagans!I67="","Falta Plan_Devolucion_Vacio","")))</f>
        <v>#NAME?</v>
      </c>
      <c r="E71" s="1" t="e">
        <f ca="1">IF(A71="","",_xludf.TEXTJOIN(" | ",TRUE,IF(Status_Operativo!J67="","Falta Status_Actual",""),IF(AND(Status_Operativo!J67="ENTREGADO",Status_Operativo!K67=""),"Falta Horario_Entrega_Real",""),IF(AND(Status_Operativo!J67&lt;&gt;"ENTREGADO",Status_Operativo!K67&lt;&gt;""),"Horario_Entrega_Real solo aplica con status ENTREGADO","")))</f>
        <v>#NAME?</v>
      </c>
      <c r="F71" s="1" t="str">
        <f ca="1">IF(A71="","",IF(AND(Status_Operativo!J67="EN PUERTO",Registro_Contenedores!J67-TODAY()&lt;=3,Registro_Contenedores!J67&gt;=TODAY()),"⚠️ ALERTA CAS",""))</f>
        <v/>
      </c>
      <c r="G71" s="1" t="e">
        <f t="shared" ca="1" si="1"/>
        <v>#NAME?</v>
      </c>
      <c r="H71" s="1" t="e">
        <f ca="1">IF(A71="","",_xludf.TEXTJOIN(" | ",TRUE,B71,C71,D71,E71,F71))</f>
        <v>#NAME?</v>
      </c>
    </row>
    <row r="72" spans="1:8" x14ac:dyDescent="0.35">
      <c r="A72" s="1">
        <f>Registro_Contenedores!A68</f>
        <v>0</v>
      </c>
      <c r="B72" s="1" t="e">
        <f ca="1">IF(A72="","",_xludf.TEXTJOIN(" | ",TRUE,IF(Registro_Contenedores!J68="","Falta Fecha_CAS",""),IF(Registro_Contenedores!K68="","Falta Deposito_Vacio","")))</f>
        <v>#NAME?</v>
      </c>
      <c r="C72" s="1" t="e">
        <f ca="1">IF(A72="","",_xludf.TEXTJOIN(" | ",TRUE,IF(Planif_Grupasa!G68="","Falta Plan_Llegada_Grupasa",""),IF(Planif_Grupasa!H68="","Falta Bodega",""),IF(Planif_Grupasa!I68="","Falta Hora_Descarga","")))</f>
        <v>#NAME?</v>
      </c>
      <c r="D72" s="1" t="e">
        <f ca="1">IF(A72="","",_xludf.TEXTJOIN(" | ",TRUE,IF(Planif_Galagans!H68="","Falta Plan_Llegada_Patio",""),IF(Planif_Galagans!I68="","Falta Plan_Devolucion_Vacio","")))</f>
        <v>#NAME?</v>
      </c>
      <c r="E72" s="1" t="e">
        <f ca="1">IF(A72="","",_xludf.TEXTJOIN(" | ",TRUE,IF(Status_Operativo!J68="","Falta Status_Actual",""),IF(AND(Status_Operativo!J68="ENTREGADO",Status_Operativo!K68=""),"Falta Horario_Entrega_Real",""),IF(AND(Status_Operativo!J68&lt;&gt;"ENTREGADO",Status_Operativo!K68&lt;&gt;""),"Horario_Entrega_Real solo aplica con status ENTREGADO","")))</f>
        <v>#NAME?</v>
      </c>
      <c r="F72" s="1" t="str">
        <f ca="1">IF(A72="","",IF(AND(Status_Operativo!J68="EN PUERTO",Registro_Contenedores!J68-TODAY()&lt;=3,Registro_Contenedores!J68&gt;=TODAY()),"⚠️ ALERTA CAS",""))</f>
        <v/>
      </c>
      <c r="G72" s="1" t="e">
        <f t="shared" ref="G72:G103" ca="1" si="2">IF(A72="","",IF(LEN(B72&amp;C72&amp;D72&amp;E72)&gt;0,"ERROR","OK"))</f>
        <v>#NAME?</v>
      </c>
      <c r="H72" s="1" t="e">
        <f ca="1">IF(A72="","",_xludf.TEXTJOIN(" | ",TRUE,B72,C72,D72,E72,F72))</f>
        <v>#NAME?</v>
      </c>
    </row>
    <row r="73" spans="1:8" x14ac:dyDescent="0.35">
      <c r="A73" s="1">
        <f>Registro_Contenedores!A69</f>
        <v>0</v>
      </c>
      <c r="B73" s="1" t="e">
        <f ca="1">IF(A73="","",_xludf.TEXTJOIN(" | ",TRUE,IF(Registro_Contenedores!J69="","Falta Fecha_CAS",""),IF(Registro_Contenedores!K69="","Falta Deposito_Vacio","")))</f>
        <v>#NAME?</v>
      </c>
      <c r="C73" s="1" t="e">
        <f ca="1">IF(A73="","",_xludf.TEXTJOIN(" | ",TRUE,IF(Planif_Grupasa!G69="","Falta Plan_Llegada_Grupasa",""),IF(Planif_Grupasa!H69="","Falta Bodega",""),IF(Planif_Grupasa!I69="","Falta Hora_Descarga","")))</f>
        <v>#NAME?</v>
      </c>
      <c r="D73" s="1" t="e">
        <f ca="1">IF(A73="","",_xludf.TEXTJOIN(" | ",TRUE,IF(Planif_Galagans!H69="","Falta Plan_Llegada_Patio",""),IF(Planif_Galagans!I69="","Falta Plan_Devolucion_Vacio","")))</f>
        <v>#NAME?</v>
      </c>
      <c r="E73" s="1" t="e">
        <f ca="1">IF(A73="","",_xludf.TEXTJOIN(" | ",TRUE,IF(Status_Operativo!J69="","Falta Status_Actual",""),IF(AND(Status_Operativo!J69="ENTREGADO",Status_Operativo!K69=""),"Falta Horario_Entrega_Real",""),IF(AND(Status_Operativo!J69&lt;&gt;"ENTREGADO",Status_Operativo!K69&lt;&gt;""),"Horario_Entrega_Real solo aplica con status ENTREGADO","")))</f>
        <v>#NAME?</v>
      </c>
      <c r="F73" s="1" t="str">
        <f ca="1">IF(A73="","",IF(AND(Status_Operativo!J69="EN PUERTO",Registro_Contenedores!J69-TODAY()&lt;=3,Registro_Contenedores!J69&gt;=TODAY()),"⚠️ ALERTA CAS",""))</f>
        <v/>
      </c>
      <c r="G73" s="1" t="e">
        <f t="shared" ca="1" si="2"/>
        <v>#NAME?</v>
      </c>
      <c r="H73" s="1" t="e">
        <f ca="1">IF(A73="","",_xludf.TEXTJOIN(" | ",TRUE,B73,C73,D73,E73,F73))</f>
        <v>#NAME?</v>
      </c>
    </row>
    <row r="74" spans="1:8" x14ac:dyDescent="0.35">
      <c r="A74" s="1">
        <f>Registro_Contenedores!A70</f>
        <v>0</v>
      </c>
      <c r="B74" s="1" t="e">
        <f ca="1">IF(A74="","",_xludf.TEXTJOIN(" | ",TRUE,IF(Registro_Contenedores!J70="","Falta Fecha_CAS",""),IF(Registro_Contenedores!K70="","Falta Deposito_Vacio","")))</f>
        <v>#NAME?</v>
      </c>
      <c r="C74" s="1" t="e">
        <f ca="1">IF(A74="","",_xludf.TEXTJOIN(" | ",TRUE,IF(Planif_Grupasa!G70="","Falta Plan_Llegada_Grupasa",""),IF(Planif_Grupasa!H70="","Falta Bodega",""),IF(Planif_Grupasa!I70="","Falta Hora_Descarga","")))</f>
        <v>#NAME?</v>
      </c>
      <c r="D74" s="1" t="e">
        <f ca="1">IF(A74="","",_xludf.TEXTJOIN(" | ",TRUE,IF(Planif_Galagans!H70="","Falta Plan_Llegada_Patio",""),IF(Planif_Galagans!I70="","Falta Plan_Devolucion_Vacio","")))</f>
        <v>#NAME?</v>
      </c>
      <c r="E74" s="1" t="e">
        <f ca="1">IF(A74="","",_xludf.TEXTJOIN(" | ",TRUE,IF(Status_Operativo!J70="","Falta Status_Actual",""),IF(AND(Status_Operativo!J70="ENTREGADO",Status_Operativo!K70=""),"Falta Horario_Entrega_Real",""),IF(AND(Status_Operativo!J70&lt;&gt;"ENTREGADO",Status_Operativo!K70&lt;&gt;""),"Horario_Entrega_Real solo aplica con status ENTREGADO","")))</f>
        <v>#NAME?</v>
      </c>
      <c r="F74" s="1" t="str">
        <f ca="1">IF(A74="","",IF(AND(Status_Operativo!J70="EN PUERTO",Registro_Contenedores!J70-TODAY()&lt;=3,Registro_Contenedores!J70&gt;=TODAY()),"⚠️ ALERTA CAS",""))</f>
        <v/>
      </c>
      <c r="G74" s="1" t="e">
        <f t="shared" ca="1" si="2"/>
        <v>#NAME?</v>
      </c>
      <c r="H74" s="1" t="e">
        <f ca="1">IF(A74="","",_xludf.TEXTJOIN(" | ",TRUE,B74,C74,D74,E74,F74))</f>
        <v>#NAME?</v>
      </c>
    </row>
    <row r="75" spans="1:8" x14ac:dyDescent="0.35">
      <c r="A75" s="1">
        <f>Registro_Contenedores!A71</f>
        <v>0</v>
      </c>
      <c r="B75" s="1" t="e">
        <f ca="1">IF(A75="","",_xludf.TEXTJOIN(" | ",TRUE,IF(Registro_Contenedores!J71="","Falta Fecha_CAS",""),IF(Registro_Contenedores!K71="","Falta Deposito_Vacio","")))</f>
        <v>#NAME?</v>
      </c>
      <c r="C75" s="1" t="e">
        <f ca="1">IF(A75="","",_xludf.TEXTJOIN(" | ",TRUE,IF(Planif_Grupasa!G71="","Falta Plan_Llegada_Grupasa",""),IF(Planif_Grupasa!H71="","Falta Bodega",""),IF(Planif_Grupasa!I71="","Falta Hora_Descarga","")))</f>
        <v>#NAME?</v>
      </c>
      <c r="D75" s="1" t="e">
        <f ca="1">IF(A75="","",_xludf.TEXTJOIN(" | ",TRUE,IF(Planif_Galagans!H71="","Falta Plan_Llegada_Patio",""),IF(Planif_Galagans!I71="","Falta Plan_Devolucion_Vacio","")))</f>
        <v>#NAME?</v>
      </c>
      <c r="E75" s="1" t="e">
        <f ca="1">IF(A75="","",_xludf.TEXTJOIN(" | ",TRUE,IF(Status_Operativo!J71="","Falta Status_Actual",""),IF(AND(Status_Operativo!J71="ENTREGADO",Status_Operativo!K71=""),"Falta Horario_Entrega_Real",""),IF(AND(Status_Operativo!J71&lt;&gt;"ENTREGADO",Status_Operativo!K71&lt;&gt;""),"Horario_Entrega_Real solo aplica con status ENTREGADO","")))</f>
        <v>#NAME?</v>
      </c>
      <c r="F75" s="1" t="str">
        <f ca="1">IF(A75="","",IF(AND(Status_Operativo!J71="EN PUERTO",Registro_Contenedores!J71-TODAY()&lt;=3,Registro_Contenedores!J71&gt;=TODAY()),"⚠️ ALERTA CAS",""))</f>
        <v/>
      </c>
      <c r="G75" s="1" t="e">
        <f t="shared" ca="1" si="2"/>
        <v>#NAME?</v>
      </c>
      <c r="H75" s="1" t="e">
        <f ca="1">IF(A75="","",_xludf.TEXTJOIN(" | ",TRUE,B75,C75,D75,E75,F75))</f>
        <v>#NAME?</v>
      </c>
    </row>
    <row r="76" spans="1:8" x14ac:dyDescent="0.35">
      <c r="A76" s="1">
        <f>Registro_Contenedores!A72</f>
        <v>0</v>
      </c>
      <c r="B76" s="1" t="e">
        <f ca="1">IF(A76="","",_xludf.TEXTJOIN(" | ",TRUE,IF(Registro_Contenedores!J72="","Falta Fecha_CAS",""),IF(Registro_Contenedores!K72="","Falta Deposito_Vacio","")))</f>
        <v>#NAME?</v>
      </c>
      <c r="C76" s="1" t="e">
        <f ca="1">IF(A76="","",_xludf.TEXTJOIN(" | ",TRUE,IF(Planif_Grupasa!G72="","Falta Plan_Llegada_Grupasa",""),IF(Planif_Grupasa!H72="","Falta Bodega",""),IF(Planif_Grupasa!I72="","Falta Hora_Descarga","")))</f>
        <v>#NAME?</v>
      </c>
      <c r="D76" s="1" t="e">
        <f ca="1">IF(A76="","",_xludf.TEXTJOIN(" | ",TRUE,IF(Planif_Galagans!H72="","Falta Plan_Llegada_Patio",""),IF(Planif_Galagans!I72="","Falta Plan_Devolucion_Vacio","")))</f>
        <v>#NAME?</v>
      </c>
      <c r="E76" s="1" t="e">
        <f ca="1">IF(A76="","",_xludf.TEXTJOIN(" | ",TRUE,IF(Status_Operativo!J72="","Falta Status_Actual",""),IF(AND(Status_Operativo!J72="ENTREGADO",Status_Operativo!K72=""),"Falta Horario_Entrega_Real",""),IF(AND(Status_Operativo!J72&lt;&gt;"ENTREGADO",Status_Operativo!K72&lt;&gt;""),"Horario_Entrega_Real solo aplica con status ENTREGADO","")))</f>
        <v>#NAME?</v>
      </c>
      <c r="F76" s="1" t="str">
        <f ca="1">IF(A76="","",IF(AND(Status_Operativo!J72="EN PUERTO",Registro_Contenedores!J72-TODAY()&lt;=3,Registro_Contenedores!J72&gt;=TODAY()),"⚠️ ALERTA CAS",""))</f>
        <v/>
      </c>
      <c r="G76" s="1" t="e">
        <f t="shared" ca="1" si="2"/>
        <v>#NAME?</v>
      </c>
      <c r="H76" s="1" t="e">
        <f ca="1">IF(A76="","",_xludf.TEXTJOIN(" | ",TRUE,B76,C76,D76,E76,F76))</f>
        <v>#NAME?</v>
      </c>
    </row>
    <row r="77" spans="1:8" x14ac:dyDescent="0.35">
      <c r="A77" s="1">
        <f>Registro_Contenedores!A73</f>
        <v>0</v>
      </c>
      <c r="B77" s="1" t="e">
        <f ca="1">IF(A77="","",_xludf.TEXTJOIN(" | ",TRUE,IF(Registro_Contenedores!J73="","Falta Fecha_CAS",""),IF(Registro_Contenedores!K73="","Falta Deposito_Vacio","")))</f>
        <v>#NAME?</v>
      </c>
      <c r="C77" s="1" t="e">
        <f ca="1">IF(A77="","",_xludf.TEXTJOIN(" | ",TRUE,IF(Planif_Grupasa!G73="","Falta Plan_Llegada_Grupasa",""),IF(Planif_Grupasa!H73="","Falta Bodega",""),IF(Planif_Grupasa!I73="","Falta Hora_Descarga","")))</f>
        <v>#NAME?</v>
      </c>
      <c r="D77" s="1" t="e">
        <f ca="1">IF(A77="","",_xludf.TEXTJOIN(" | ",TRUE,IF(Planif_Galagans!H73="","Falta Plan_Llegada_Patio",""),IF(Planif_Galagans!I73="","Falta Plan_Devolucion_Vacio","")))</f>
        <v>#NAME?</v>
      </c>
      <c r="E77" s="1" t="e">
        <f ca="1">IF(A77="","",_xludf.TEXTJOIN(" | ",TRUE,IF(Status_Operativo!J73="","Falta Status_Actual",""),IF(AND(Status_Operativo!J73="ENTREGADO",Status_Operativo!K73=""),"Falta Horario_Entrega_Real",""),IF(AND(Status_Operativo!J73&lt;&gt;"ENTREGADO",Status_Operativo!K73&lt;&gt;""),"Horario_Entrega_Real solo aplica con status ENTREGADO","")))</f>
        <v>#NAME?</v>
      </c>
      <c r="F77" s="1" t="str">
        <f ca="1">IF(A77="","",IF(AND(Status_Operativo!J73="EN PUERTO",Registro_Contenedores!J73-TODAY()&lt;=3,Registro_Contenedores!J73&gt;=TODAY()),"⚠️ ALERTA CAS",""))</f>
        <v/>
      </c>
      <c r="G77" s="1" t="e">
        <f t="shared" ca="1" si="2"/>
        <v>#NAME?</v>
      </c>
      <c r="H77" s="1" t="e">
        <f ca="1">IF(A77="","",_xludf.TEXTJOIN(" | ",TRUE,B77,C77,D77,E77,F77))</f>
        <v>#NAME?</v>
      </c>
    </row>
    <row r="78" spans="1:8" x14ac:dyDescent="0.35">
      <c r="A78" s="1">
        <f>Registro_Contenedores!A74</f>
        <v>0</v>
      </c>
      <c r="B78" s="1" t="e">
        <f ca="1">IF(A78="","",_xludf.TEXTJOIN(" | ",TRUE,IF(Registro_Contenedores!J74="","Falta Fecha_CAS",""),IF(Registro_Contenedores!K74="","Falta Deposito_Vacio","")))</f>
        <v>#NAME?</v>
      </c>
      <c r="C78" s="1" t="e">
        <f ca="1">IF(A78="","",_xludf.TEXTJOIN(" | ",TRUE,IF(Planif_Grupasa!G74="","Falta Plan_Llegada_Grupasa",""),IF(Planif_Grupasa!H74="","Falta Bodega",""),IF(Planif_Grupasa!I74="","Falta Hora_Descarga","")))</f>
        <v>#NAME?</v>
      </c>
      <c r="D78" s="1" t="e">
        <f ca="1">IF(A78="","",_xludf.TEXTJOIN(" | ",TRUE,IF(Planif_Galagans!H74="","Falta Plan_Llegada_Patio",""),IF(Planif_Galagans!I74="","Falta Plan_Devolucion_Vacio","")))</f>
        <v>#NAME?</v>
      </c>
      <c r="E78" s="1" t="e">
        <f ca="1">IF(A78="","",_xludf.TEXTJOIN(" | ",TRUE,IF(Status_Operativo!J74="","Falta Status_Actual",""),IF(AND(Status_Operativo!J74="ENTREGADO",Status_Operativo!K74=""),"Falta Horario_Entrega_Real",""),IF(AND(Status_Operativo!J74&lt;&gt;"ENTREGADO",Status_Operativo!K74&lt;&gt;""),"Horario_Entrega_Real solo aplica con status ENTREGADO","")))</f>
        <v>#NAME?</v>
      </c>
      <c r="F78" s="1" t="str">
        <f ca="1">IF(A78="","",IF(AND(Status_Operativo!J74="EN PUERTO",Registro_Contenedores!J74-TODAY()&lt;=3,Registro_Contenedores!J74&gt;=TODAY()),"⚠️ ALERTA CAS",""))</f>
        <v/>
      </c>
      <c r="G78" s="1" t="e">
        <f t="shared" ca="1" si="2"/>
        <v>#NAME?</v>
      </c>
      <c r="H78" s="1" t="e">
        <f ca="1">IF(A78="","",_xludf.TEXTJOIN(" | ",TRUE,B78,C78,D78,E78,F78))</f>
        <v>#NAME?</v>
      </c>
    </row>
    <row r="79" spans="1:8" x14ac:dyDescent="0.35">
      <c r="A79" s="1">
        <f>Registro_Contenedores!A75</f>
        <v>0</v>
      </c>
      <c r="B79" s="1" t="e">
        <f ca="1">IF(A79="","",_xludf.TEXTJOIN(" | ",TRUE,IF(Registro_Contenedores!J75="","Falta Fecha_CAS",""),IF(Registro_Contenedores!K75="","Falta Deposito_Vacio","")))</f>
        <v>#NAME?</v>
      </c>
      <c r="C79" s="1" t="e">
        <f ca="1">IF(A79="","",_xludf.TEXTJOIN(" | ",TRUE,IF(Planif_Grupasa!G75="","Falta Plan_Llegada_Grupasa",""),IF(Planif_Grupasa!H75="","Falta Bodega",""),IF(Planif_Grupasa!I75="","Falta Hora_Descarga","")))</f>
        <v>#NAME?</v>
      </c>
      <c r="D79" s="1" t="e">
        <f ca="1">IF(A79="","",_xludf.TEXTJOIN(" | ",TRUE,IF(Planif_Galagans!H75="","Falta Plan_Llegada_Patio",""),IF(Planif_Galagans!I75="","Falta Plan_Devolucion_Vacio","")))</f>
        <v>#NAME?</v>
      </c>
      <c r="E79" s="1" t="e">
        <f ca="1">IF(A79="","",_xludf.TEXTJOIN(" | ",TRUE,IF(Status_Operativo!J75="","Falta Status_Actual",""),IF(AND(Status_Operativo!J75="ENTREGADO",Status_Operativo!K75=""),"Falta Horario_Entrega_Real",""),IF(AND(Status_Operativo!J75&lt;&gt;"ENTREGADO",Status_Operativo!K75&lt;&gt;""),"Horario_Entrega_Real solo aplica con status ENTREGADO","")))</f>
        <v>#NAME?</v>
      </c>
      <c r="F79" s="1" t="str">
        <f ca="1">IF(A79="","",IF(AND(Status_Operativo!J75="EN PUERTO",Registro_Contenedores!J75-TODAY()&lt;=3,Registro_Contenedores!J75&gt;=TODAY()),"⚠️ ALERTA CAS",""))</f>
        <v/>
      </c>
      <c r="G79" s="1" t="e">
        <f t="shared" ca="1" si="2"/>
        <v>#NAME?</v>
      </c>
      <c r="H79" s="1" t="e">
        <f ca="1">IF(A79="","",_xludf.TEXTJOIN(" | ",TRUE,B79,C79,D79,E79,F79))</f>
        <v>#NAME?</v>
      </c>
    </row>
    <row r="80" spans="1:8" x14ac:dyDescent="0.35">
      <c r="A80" s="1">
        <f>Registro_Contenedores!A76</f>
        <v>0</v>
      </c>
      <c r="B80" s="1" t="e">
        <f ca="1">IF(A80="","",_xludf.TEXTJOIN(" | ",TRUE,IF(Registro_Contenedores!J76="","Falta Fecha_CAS",""),IF(Registro_Contenedores!K76="","Falta Deposito_Vacio","")))</f>
        <v>#NAME?</v>
      </c>
      <c r="C80" s="1" t="e">
        <f ca="1">IF(A80="","",_xludf.TEXTJOIN(" | ",TRUE,IF(Planif_Grupasa!G76="","Falta Plan_Llegada_Grupasa",""),IF(Planif_Grupasa!H76="","Falta Bodega",""),IF(Planif_Grupasa!I76="","Falta Hora_Descarga","")))</f>
        <v>#NAME?</v>
      </c>
      <c r="D80" s="1" t="e">
        <f ca="1">IF(A80="","",_xludf.TEXTJOIN(" | ",TRUE,IF(Planif_Galagans!H76="","Falta Plan_Llegada_Patio",""),IF(Planif_Galagans!I76="","Falta Plan_Devolucion_Vacio","")))</f>
        <v>#NAME?</v>
      </c>
      <c r="E80" s="1" t="e">
        <f ca="1">IF(A80="","",_xludf.TEXTJOIN(" | ",TRUE,IF(Status_Operativo!J76="","Falta Status_Actual",""),IF(AND(Status_Operativo!J76="ENTREGADO",Status_Operativo!K76=""),"Falta Horario_Entrega_Real",""),IF(AND(Status_Operativo!J76&lt;&gt;"ENTREGADO",Status_Operativo!K76&lt;&gt;""),"Horario_Entrega_Real solo aplica con status ENTREGADO","")))</f>
        <v>#NAME?</v>
      </c>
      <c r="F80" s="1" t="str">
        <f ca="1">IF(A80="","",IF(AND(Status_Operativo!J76="EN PUERTO",Registro_Contenedores!J76-TODAY()&lt;=3,Registro_Contenedores!J76&gt;=TODAY()),"⚠️ ALERTA CAS",""))</f>
        <v/>
      </c>
      <c r="G80" s="1" t="e">
        <f t="shared" ca="1" si="2"/>
        <v>#NAME?</v>
      </c>
      <c r="H80" s="1" t="e">
        <f ca="1">IF(A80="","",_xludf.TEXTJOIN(" | ",TRUE,B80,C80,D80,E80,F80))</f>
        <v>#NAME?</v>
      </c>
    </row>
    <row r="81" spans="1:8" x14ac:dyDescent="0.35">
      <c r="A81" s="1">
        <f>Registro_Contenedores!A77</f>
        <v>0</v>
      </c>
      <c r="B81" s="1" t="e">
        <f ca="1">IF(A81="","",_xludf.TEXTJOIN(" | ",TRUE,IF(Registro_Contenedores!J77="","Falta Fecha_CAS",""),IF(Registro_Contenedores!K77="","Falta Deposito_Vacio","")))</f>
        <v>#NAME?</v>
      </c>
      <c r="C81" s="1" t="e">
        <f ca="1">IF(A81="","",_xludf.TEXTJOIN(" | ",TRUE,IF(Planif_Grupasa!G77="","Falta Plan_Llegada_Grupasa",""),IF(Planif_Grupasa!H77="","Falta Bodega",""),IF(Planif_Grupasa!I77="","Falta Hora_Descarga","")))</f>
        <v>#NAME?</v>
      </c>
      <c r="D81" s="1" t="e">
        <f ca="1">IF(A81="","",_xludf.TEXTJOIN(" | ",TRUE,IF(Planif_Galagans!H77="","Falta Plan_Llegada_Patio",""),IF(Planif_Galagans!I77="","Falta Plan_Devolucion_Vacio","")))</f>
        <v>#NAME?</v>
      </c>
      <c r="E81" s="1" t="e">
        <f ca="1">IF(A81="","",_xludf.TEXTJOIN(" | ",TRUE,IF(Status_Operativo!J77="","Falta Status_Actual",""),IF(AND(Status_Operativo!J77="ENTREGADO",Status_Operativo!K77=""),"Falta Horario_Entrega_Real",""),IF(AND(Status_Operativo!J77&lt;&gt;"ENTREGADO",Status_Operativo!K77&lt;&gt;""),"Horario_Entrega_Real solo aplica con status ENTREGADO","")))</f>
        <v>#NAME?</v>
      </c>
      <c r="F81" s="1" t="str">
        <f ca="1">IF(A81="","",IF(AND(Status_Operativo!J77="EN PUERTO",Registro_Contenedores!J77-TODAY()&lt;=3,Registro_Contenedores!J77&gt;=TODAY()),"⚠️ ALERTA CAS",""))</f>
        <v/>
      </c>
      <c r="G81" s="1" t="e">
        <f t="shared" ca="1" si="2"/>
        <v>#NAME?</v>
      </c>
      <c r="H81" s="1" t="e">
        <f ca="1">IF(A81="","",_xludf.TEXTJOIN(" | ",TRUE,B81,C81,D81,E81,F81))</f>
        <v>#NAME?</v>
      </c>
    </row>
    <row r="82" spans="1:8" x14ac:dyDescent="0.35">
      <c r="A82" s="1">
        <f>Registro_Contenedores!A78</f>
        <v>0</v>
      </c>
      <c r="B82" s="1" t="e">
        <f ca="1">IF(A82="","",_xludf.TEXTJOIN(" | ",TRUE,IF(Registro_Contenedores!J78="","Falta Fecha_CAS",""),IF(Registro_Contenedores!K78="","Falta Deposito_Vacio","")))</f>
        <v>#NAME?</v>
      </c>
      <c r="C82" s="1" t="e">
        <f ca="1">IF(A82="","",_xludf.TEXTJOIN(" | ",TRUE,IF(Planif_Grupasa!G78="","Falta Plan_Llegada_Grupasa",""),IF(Planif_Grupasa!H78="","Falta Bodega",""),IF(Planif_Grupasa!I78="","Falta Hora_Descarga","")))</f>
        <v>#NAME?</v>
      </c>
      <c r="D82" s="1" t="e">
        <f ca="1">IF(A82="","",_xludf.TEXTJOIN(" | ",TRUE,IF(Planif_Galagans!H78="","Falta Plan_Llegada_Patio",""),IF(Planif_Galagans!I78="","Falta Plan_Devolucion_Vacio","")))</f>
        <v>#NAME?</v>
      </c>
      <c r="E82" s="1" t="e">
        <f ca="1">IF(A82="","",_xludf.TEXTJOIN(" | ",TRUE,IF(Status_Operativo!J78="","Falta Status_Actual",""),IF(AND(Status_Operativo!J78="ENTREGADO",Status_Operativo!K78=""),"Falta Horario_Entrega_Real",""),IF(AND(Status_Operativo!J78&lt;&gt;"ENTREGADO",Status_Operativo!K78&lt;&gt;""),"Horario_Entrega_Real solo aplica con status ENTREGADO","")))</f>
        <v>#NAME?</v>
      </c>
      <c r="F82" s="1" t="str">
        <f ca="1">IF(A82="","",IF(AND(Status_Operativo!J78="EN PUERTO",Registro_Contenedores!J78-TODAY()&lt;=3,Registro_Contenedores!J78&gt;=TODAY()),"⚠️ ALERTA CAS",""))</f>
        <v/>
      </c>
      <c r="G82" s="1" t="e">
        <f t="shared" ca="1" si="2"/>
        <v>#NAME?</v>
      </c>
      <c r="H82" s="1" t="e">
        <f ca="1">IF(A82="","",_xludf.TEXTJOIN(" | ",TRUE,B82,C82,D82,E82,F82))</f>
        <v>#NAME?</v>
      </c>
    </row>
    <row r="83" spans="1:8" x14ac:dyDescent="0.35">
      <c r="A83" s="1">
        <f>Registro_Contenedores!A79</f>
        <v>0</v>
      </c>
      <c r="B83" s="1" t="e">
        <f ca="1">IF(A83="","",_xludf.TEXTJOIN(" | ",TRUE,IF(Registro_Contenedores!J79="","Falta Fecha_CAS",""),IF(Registro_Contenedores!K79="","Falta Deposito_Vacio","")))</f>
        <v>#NAME?</v>
      </c>
      <c r="C83" s="1" t="e">
        <f ca="1">IF(A83="","",_xludf.TEXTJOIN(" | ",TRUE,IF(Planif_Grupasa!G79="","Falta Plan_Llegada_Grupasa",""),IF(Planif_Grupasa!H79="","Falta Bodega",""),IF(Planif_Grupasa!I79="","Falta Hora_Descarga","")))</f>
        <v>#NAME?</v>
      </c>
      <c r="D83" s="1" t="e">
        <f ca="1">IF(A83="","",_xludf.TEXTJOIN(" | ",TRUE,IF(Planif_Galagans!H79="","Falta Plan_Llegada_Patio",""),IF(Planif_Galagans!I79="","Falta Plan_Devolucion_Vacio","")))</f>
        <v>#NAME?</v>
      </c>
      <c r="E83" s="1" t="e">
        <f ca="1">IF(A83="","",_xludf.TEXTJOIN(" | ",TRUE,IF(Status_Operativo!J79="","Falta Status_Actual",""),IF(AND(Status_Operativo!J79="ENTREGADO",Status_Operativo!K79=""),"Falta Horario_Entrega_Real",""),IF(AND(Status_Operativo!J79&lt;&gt;"ENTREGADO",Status_Operativo!K79&lt;&gt;""),"Horario_Entrega_Real solo aplica con status ENTREGADO","")))</f>
        <v>#NAME?</v>
      </c>
      <c r="F83" s="1" t="str">
        <f ca="1">IF(A83="","",IF(AND(Status_Operativo!J79="EN PUERTO",Registro_Contenedores!J79-TODAY()&lt;=3,Registro_Contenedores!J79&gt;=TODAY()),"⚠️ ALERTA CAS",""))</f>
        <v/>
      </c>
      <c r="G83" s="1" t="e">
        <f t="shared" ca="1" si="2"/>
        <v>#NAME?</v>
      </c>
      <c r="H83" s="1" t="e">
        <f ca="1">IF(A83="","",_xludf.TEXTJOIN(" | ",TRUE,B83,C83,D83,E83,F83))</f>
        <v>#NAME?</v>
      </c>
    </row>
    <row r="84" spans="1:8" x14ac:dyDescent="0.35">
      <c r="A84" s="1">
        <f>Registro_Contenedores!A80</f>
        <v>0</v>
      </c>
      <c r="B84" s="1" t="e">
        <f ca="1">IF(A84="","",_xludf.TEXTJOIN(" | ",TRUE,IF(Registro_Contenedores!J80="","Falta Fecha_CAS",""),IF(Registro_Contenedores!K80="","Falta Deposito_Vacio","")))</f>
        <v>#NAME?</v>
      </c>
      <c r="C84" s="1" t="e">
        <f ca="1">IF(A84="","",_xludf.TEXTJOIN(" | ",TRUE,IF(Planif_Grupasa!G80="","Falta Plan_Llegada_Grupasa",""),IF(Planif_Grupasa!H80="","Falta Bodega",""),IF(Planif_Grupasa!I80="","Falta Hora_Descarga","")))</f>
        <v>#NAME?</v>
      </c>
      <c r="D84" s="1" t="e">
        <f ca="1">IF(A84="","",_xludf.TEXTJOIN(" | ",TRUE,IF(Planif_Galagans!H80="","Falta Plan_Llegada_Patio",""),IF(Planif_Galagans!I80="","Falta Plan_Devolucion_Vacio","")))</f>
        <v>#NAME?</v>
      </c>
      <c r="E84" s="1" t="e">
        <f ca="1">IF(A84="","",_xludf.TEXTJOIN(" | ",TRUE,IF(Status_Operativo!J80="","Falta Status_Actual",""),IF(AND(Status_Operativo!J80="ENTREGADO",Status_Operativo!K80=""),"Falta Horario_Entrega_Real",""),IF(AND(Status_Operativo!J80&lt;&gt;"ENTREGADO",Status_Operativo!K80&lt;&gt;""),"Horario_Entrega_Real solo aplica con status ENTREGADO","")))</f>
        <v>#NAME?</v>
      </c>
      <c r="F84" s="1" t="str">
        <f ca="1">IF(A84="","",IF(AND(Status_Operativo!J80="EN PUERTO",Registro_Contenedores!J80-TODAY()&lt;=3,Registro_Contenedores!J80&gt;=TODAY()),"⚠️ ALERTA CAS",""))</f>
        <v/>
      </c>
      <c r="G84" s="1" t="e">
        <f t="shared" ca="1" si="2"/>
        <v>#NAME?</v>
      </c>
      <c r="H84" s="1" t="e">
        <f ca="1">IF(A84="","",_xludf.TEXTJOIN(" | ",TRUE,B84,C84,D84,E84,F84))</f>
        <v>#NAME?</v>
      </c>
    </row>
    <row r="85" spans="1:8" x14ac:dyDescent="0.35">
      <c r="A85" s="1">
        <f>Registro_Contenedores!A81</f>
        <v>0</v>
      </c>
      <c r="B85" s="1" t="e">
        <f ca="1">IF(A85="","",_xludf.TEXTJOIN(" | ",TRUE,IF(Registro_Contenedores!J81="","Falta Fecha_CAS",""),IF(Registro_Contenedores!K81="","Falta Deposito_Vacio","")))</f>
        <v>#NAME?</v>
      </c>
      <c r="C85" s="1" t="e">
        <f ca="1">IF(A85="","",_xludf.TEXTJOIN(" | ",TRUE,IF(Planif_Grupasa!G81="","Falta Plan_Llegada_Grupasa",""),IF(Planif_Grupasa!H81="","Falta Bodega",""),IF(Planif_Grupasa!I81="","Falta Hora_Descarga","")))</f>
        <v>#NAME?</v>
      </c>
      <c r="D85" s="1" t="e">
        <f ca="1">IF(A85="","",_xludf.TEXTJOIN(" | ",TRUE,IF(Planif_Galagans!H81="","Falta Plan_Llegada_Patio",""),IF(Planif_Galagans!I81="","Falta Plan_Devolucion_Vacio","")))</f>
        <v>#NAME?</v>
      </c>
      <c r="E85" s="1" t="e">
        <f ca="1">IF(A85="","",_xludf.TEXTJOIN(" | ",TRUE,IF(Status_Operativo!J81="","Falta Status_Actual",""),IF(AND(Status_Operativo!J81="ENTREGADO",Status_Operativo!K81=""),"Falta Horario_Entrega_Real",""),IF(AND(Status_Operativo!J81&lt;&gt;"ENTREGADO",Status_Operativo!K81&lt;&gt;""),"Horario_Entrega_Real solo aplica con status ENTREGADO","")))</f>
        <v>#NAME?</v>
      </c>
      <c r="F85" s="1" t="str">
        <f ca="1">IF(A85="","",IF(AND(Status_Operativo!J81="EN PUERTO",Registro_Contenedores!J81-TODAY()&lt;=3,Registro_Contenedores!J81&gt;=TODAY()),"⚠️ ALERTA CAS",""))</f>
        <v/>
      </c>
      <c r="G85" s="1" t="e">
        <f t="shared" ca="1" si="2"/>
        <v>#NAME?</v>
      </c>
      <c r="H85" s="1" t="e">
        <f ca="1">IF(A85="","",_xludf.TEXTJOIN(" | ",TRUE,B85,C85,D85,E85,F85))</f>
        <v>#NAME?</v>
      </c>
    </row>
    <row r="86" spans="1:8" x14ac:dyDescent="0.35">
      <c r="A86" s="1">
        <f>Registro_Contenedores!A82</f>
        <v>0</v>
      </c>
      <c r="B86" s="1" t="e">
        <f ca="1">IF(A86="","",_xludf.TEXTJOIN(" | ",TRUE,IF(Registro_Contenedores!J82="","Falta Fecha_CAS",""),IF(Registro_Contenedores!K82="","Falta Deposito_Vacio","")))</f>
        <v>#NAME?</v>
      </c>
      <c r="C86" s="1" t="e">
        <f ca="1">IF(A86="","",_xludf.TEXTJOIN(" | ",TRUE,IF(Planif_Grupasa!G82="","Falta Plan_Llegada_Grupasa",""),IF(Planif_Grupasa!H82="","Falta Bodega",""),IF(Planif_Grupasa!I82="","Falta Hora_Descarga","")))</f>
        <v>#NAME?</v>
      </c>
      <c r="D86" s="1" t="e">
        <f ca="1">IF(A86="","",_xludf.TEXTJOIN(" | ",TRUE,IF(Planif_Galagans!H82="","Falta Plan_Llegada_Patio",""),IF(Planif_Galagans!I82="","Falta Plan_Devolucion_Vacio","")))</f>
        <v>#NAME?</v>
      </c>
      <c r="E86" s="1" t="e">
        <f ca="1">IF(A86="","",_xludf.TEXTJOIN(" | ",TRUE,IF(Status_Operativo!J82="","Falta Status_Actual",""),IF(AND(Status_Operativo!J82="ENTREGADO",Status_Operativo!K82=""),"Falta Horario_Entrega_Real",""),IF(AND(Status_Operativo!J82&lt;&gt;"ENTREGADO",Status_Operativo!K82&lt;&gt;""),"Horario_Entrega_Real solo aplica con status ENTREGADO","")))</f>
        <v>#NAME?</v>
      </c>
      <c r="F86" s="1" t="str">
        <f ca="1">IF(A86="","",IF(AND(Status_Operativo!J82="EN PUERTO",Registro_Contenedores!J82-TODAY()&lt;=3,Registro_Contenedores!J82&gt;=TODAY()),"⚠️ ALERTA CAS",""))</f>
        <v/>
      </c>
      <c r="G86" s="1" t="e">
        <f t="shared" ca="1" si="2"/>
        <v>#NAME?</v>
      </c>
      <c r="H86" s="1" t="e">
        <f ca="1">IF(A86="","",_xludf.TEXTJOIN(" | ",TRUE,B86,C86,D86,E86,F86))</f>
        <v>#NAME?</v>
      </c>
    </row>
    <row r="87" spans="1:8" x14ac:dyDescent="0.35">
      <c r="A87" s="1">
        <f>Registro_Contenedores!A83</f>
        <v>0</v>
      </c>
      <c r="B87" s="1" t="e">
        <f ca="1">IF(A87="","",_xludf.TEXTJOIN(" | ",TRUE,IF(Registro_Contenedores!J83="","Falta Fecha_CAS",""),IF(Registro_Contenedores!K83="","Falta Deposito_Vacio","")))</f>
        <v>#NAME?</v>
      </c>
      <c r="C87" s="1" t="e">
        <f ca="1">IF(A87="","",_xludf.TEXTJOIN(" | ",TRUE,IF(Planif_Grupasa!G83="","Falta Plan_Llegada_Grupasa",""),IF(Planif_Grupasa!H83="","Falta Bodega",""),IF(Planif_Grupasa!I83="","Falta Hora_Descarga","")))</f>
        <v>#NAME?</v>
      </c>
      <c r="D87" s="1" t="e">
        <f ca="1">IF(A87="","",_xludf.TEXTJOIN(" | ",TRUE,IF(Planif_Galagans!H83="","Falta Plan_Llegada_Patio",""),IF(Planif_Galagans!I83="","Falta Plan_Devolucion_Vacio","")))</f>
        <v>#NAME?</v>
      </c>
      <c r="E87" s="1" t="e">
        <f ca="1">IF(A87="","",_xludf.TEXTJOIN(" | ",TRUE,IF(Status_Operativo!J83="","Falta Status_Actual",""),IF(AND(Status_Operativo!J83="ENTREGADO",Status_Operativo!K83=""),"Falta Horario_Entrega_Real",""),IF(AND(Status_Operativo!J83&lt;&gt;"ENTREGADO",Status_Operativo!K83&lt;&gt;""),"Horario_Entrega_Real solo aplica con status ENTREGADO","")))</f>
        <v>#NAME?</v>
      </c>
      <c r="F87" s="1" t="str">
        <f ca="1">IF(A87="","",IF(AND(Status_Operativo!J83="EN PUERTO",Registro_Contenedores!J83-TODAY()&lt;=3,Registro_Contenedores!J83&gt;=TODAY()),"⚠️ ALERTA CAS",""))</f>
        <v/>
      </c>
      <c r="G87" s="1" t="e">
        <f t="shared" ca="1" si="2"/>
        <v>#NAME?</v>
      </c>
      <c r="H87" s="1" t="e">
        <f ca="1">IF(A87="","",_xludf.TEXTJOIN(" | ",TRUE,B87,C87,D87,E87,F87))</f>
        <v>#NAME?</v>
      </c>
    </row>
    <row r="88" spans="1:8" x14ac:dyDescent="0.35">
      <c r="A88" s="1">
        <f>Registro_Contenedores!A84</f>
        <v>0</v>
      </c>
      <c r="B88" s="1" t="e">
        <f ca="1">IF(A88="","",_xludf.TEXTJOIN(" | ",TRUE,IF(Registro_Contenedores!J84="","Falta Fecha_CAS",""),IF(Registro_Contenedores!K84="","Falta Deposito_Vacio","")))</f>
        <v>#NAME?</v>
      </c>
      <c r="C88" s="1" t="e">
        <f ca="1">IF(A88="","",_xludf.TEXTJOIN(" | ",TRUE,IF(Planif_Grupasa!G84="","Falta Plan_Llegada_Grupasa",""),IF(Planif_Grupasa!H84="","Falta Bodega",""),IF(Planif_Grupasa!I84="","Falta Hora_Descarga","")))</f>
        <v>#NAME?</v>
      </c>
      <c r="D88" s="1" t="e">
        <f ca="1">IF(A88="","",_xludf.TEXTJOIN(" | ",TRUE,IF(Planif_Galagans!H84="","Falta Plan_Llegada_Patio",""),IF(Planif_Galagans!I84="","Falta Plan_Devolucion_Vacio","")))</f>
        <v>#NAME?</v>
      </c>
      <c r="E88" s="1" t="e">
        <f ca="1">IF(A88="","",_xludf.TEXTJOIN(" | ",TRUE,IF(Status_Operativo!J84="","Falta Status_Actual",""),IF(AND(Status_Operativo!J84="ENTREGADO",Status_Operativo!K84=""),"Falta Horario_Entrega_Real",""),IF(AND(Status_Operativo!J84&lt;&gt;"ENTREGADO",Status_Operativo!K84&lt;&gt;""),"Horario_Entrega_Real solo aplica con status ENTREGADO","")))</f>
        <v>#NAME?</v>
      </c>
      <c r="F88" s="1" t="str">
        <f ca="1">IF(A88="","",IF(AND(Status_Operativo!J84="EN PUERTO",Registro_Contenedores!J84-TODAY()&lt;=3,Registro_Contenedores!J84&gt;=TODAY()),"⚠️ ALERTA CAS",""))</f>
        <v/>
      </c>
      <c r="G88" s="1" t="e">
        <f t="shared" ca="1" si="2"/>
        <v>#NAME?</v>
      </c>
      <c r="H88" s="1" t="e">
        <f ca="1">IF(A88="","",_xludf.TEXTJOIN(" | ",TRUE,B88,C88,D88,E88,F88))</f>
        <v>#NAME?</v>
      </c>
    </row>
    <row r="89" spans="1:8" x14ac:dyDescent="0.35">
      <c r="A89" s="1">
        <f>Registro_Contenedores!A85</f>
        <v>0</v>
      </c>
      <c r="B89" s="1" t="e">
        <f ca="1">IF(A89="","",_xludf.TEXTJOIN(" | ",TRUE,IF(Registro_Contenedores!J85="","Falta Fecha_CAS",""),IF(Registro_Contenedores!K85="","Falta Deposito_Vacio","")))</f>
        <v>#NAME?</v>
      </c>
      <c r="C89" s="1" t="e">
        <f ca="1">IF(A89="","",_xludf.TEXTJOIN(" | ",TRUE,IF(Planif_Grupasa!G85="","Falta Plan_Llegada_Grupasa",""),IF(Planif_Grupasa!H85="","Falta Bodega",""),IF(Planif_Grupasa!I85="","Falta Hora_Descarga","")))</f>
        <v>#NAME?</v>
      </c>
      <c r="D89" s="1" t="e">
        <f ca="1">IF(A89="","",_xludf.TEXTJOIN(" | ",TRUE,IF(Planif_Galagans!H85="","Falta Plan_Llegada_Patio",""),IF(Planif_Galagans!I85="","Falta Plan_Devolucion_Vacio","")))</f>
        <v>#NAME?</v>
      </c>
      <c r="E89" s="1" t="e">
        <f ca="1">IF(A89="","",_xludf.TEXTJOIN(" | ",TRUE,IF(Status_Operativo!J85="","Falta Status_Actual",""),IF(AND(Status_Operativo!J85="ENTREGADO",Status_Operativo!K85=""),"Falta Horario_Entrega_Real",""),IF(AND(Status_Operativo!J85&lt;&gt;"ENTREGADO",Status_Operativo!K85&lt;&gt;""),"Horario_Entrega_Real solo aplica con status ENTREGADO","")))</f>
        <v>#NAME?</v>
      </c>
      <c r="F89" s="1" t="str">
        <f ca="1">IF(A89="","",IF(AND(Status_Operativo!J85="EN PUERTO",Registro_Contenedores!J85-TODAY()&lt;=3,Registro_Contenedores!J85&gt;=TODAY()),"⚠️ ALERTA CAS",""))</f>
        <v/>
      </c>
      <c r="G89" s="1" t="e">
        <f t="shared" ca="1" si="2"/>
        <v>#NAME?</v>
      </c>
      <c r="H89" s="1" t="e">
        <f ca="1">IF(A89="","",_xludf.TEXTJOIN(" | ",TRUE,B89,C89,D89,E89,F89))</f>
        <v>#NAME?</v>
      </c>
    </row>
    <row r="90" spans="1:8" x14ac:dyDescent="0.35">
      <c r="A90" s="1">
        <f>Registro_Contenedores!A86</f>
        <v>0</v>
      </c>
      <c r="B90" s="1" t="e">
        <f ca="1">IF(A90="","",_xludf.TEXTJOIN(" | ",TRUE,IF(Registro_Contenedores!J86="","Falta Fecha_CAS",""),IF(Registro_Contenedores!K86="","Falta Deposito_Vacio","")))</f>
        <v>#NAME?</v>
      </c>
      <c r="C90" s="1" t="e">
        <f ca="1">IF(A90="","",_xludf.TEXTJOIN(" | ",TRUE,IF(Planif_Grupasa!G86="","Falta Plan_Llegada_Grupasa",""),IF(Planif_Grupasa!H86="","Falta Bodega",""),IF(Planif_Grupasa!I86="","Falta Hora_Descarga","")))</f>
        <v>#NAME?</v>
      </c>
      <c r="D90" s="1" t="e">
        <f ca="1">IF(A90="","",_xludf.TEXTJOIN(" | ",TRUE,IF(Planif_Galagans!H86="","Falta Plan_Llegada_Patio",""),IF(Planif_Galagans!I86="","Falta Plan_Devolucion_Vacio","")))</f>
        <v>#NAME?</v>
      </c>
      <c r="E90" s="1" t="e">
        <f ca="1">IF(A90="","",_xludf.TEXTJOIN(" | ",TRUE,IF(Status_Operativo!J86="","Falta Status_Actual",""),IF(AND(Status_Operativo!J86="ENTREGADO",Status_Operativo!K86=""),"Falta Horario_Entrega_Real",""),IF(AND(Status_Operativo!J86&lt;&gt;"ENTREGADO",Status_Operativo!K86&lt;&gt;""),"Horario_Entrega_Real solo aplica con status ENTREGADO","")))</f>
        <v>#NAME?</v>
      </c>
      <c r="F90" s="1" t="str">
        <f ca="1">IF(A90="","",IF(AND(Status_Operativo!J86="EN PUERTO",Registro_Contenedores!J86-TODAY()&lt;=3,Registro_Contenedores!J86&gt;=TODAY()),"⚠️ ALERTA CAS",""))</f>
        <v/>
      </c>
      <c r="G90" s="1" t="e">
        <f t="shared" ca="1" si="2"/>
        <v>#NAME?</v>
      </c>
      <c r="H90" s="1" t="e">
        <f ca="1">IF(A90="","",_xludf.TEXTJOIN(" | ",TRUE,B90,C90,D90,E90,F90))</f>
        <v>#NAME?</v>
      </c>
    </row>
    <row r="91" spans="1:8" x14ac:dyDescent="0.35">
      <c r="A91" s="1">
        <f>Registro_Contenedores!A87</f>
        <v>0</v>
      </c>
      <c r="B91" s="1" t="e">
        <f ca="1">IF(A91="","",_xludf.TEXTJOIN(" | ",TRUE,IF(Registro_Contenedores!J87="","Falta Fecha_CAS",""),IF(Registro_Contenedores!K87="","Falta Deposito_Vacio","")))</f>
        <v>#NAME?</v>
      </c>
      <c r="C91" s="1" t="e">
        <f ca="1">IF(A91="","",_xludf.TEXTJOIN(" | ",TRUE,IF(Planif_Grupasa!G87="","Falta Plan_Llegada_Grupasa",""),IF(Planif_Grupasa!H87="","Falta Bodega",""),IF(Planif_Grupasa!I87="","Falta Hora_Descarga","")))</f>
        <v>#NAME?</v>
      </c>
      <c r="D91" s="1" t="e">
        <f ca="1">IF(A91="","",_xludf.TEXTJOIN(" | ",TRUE,IF(Planif_Galagans!H87="","Falta Plan_Llegada_Patio",""),IF(Planif_Galagans!I87="","Falta Plan_Devolucion_Vacio","")))</f>
        <v>#NAME?</v>
      </c>
      <c r="E91" s="1" t="e">
        <f ca="1">IF(A91="","",_xludf.TEXTJOIN(" | ",TRUE,IF(Status_Operativo!J87="","Falta Status_Actual",""),IF(AND(Status_Operativo!J87="ENTREGADO",Status_Operativo!K87=""),"Falta Horario_Entrega_Real",""),IF(AND(Status_Operativo!J87&lt;&gt;"ENTREGADO",Status_Operativo!K87&lt;&gt;""),"Horario_Entrega_Real solo aplica con status ENTREGADO","")))</f>
        <v>#NAME?</v>
      </c>
      <c r="F91" s="1" t="str">
        <f ca="1">IF(A91="","",IF(AND(Status_Operativo!J87="EN PUERTO",Registro_Contenedores!J87-TODAY()&lt;=3,Registro_Contenedores!J87&gt;=TODAY()),"⚠️ ALERTA CAS",""))</f>
        <v/>
      </c>
      <c r="G91" s="1" t="e">
        <f t="shared" ca="1" si="2"/>
        <v>#NAME?</v>
      </c>
      <c r="H91" s="1" t="e">
        <f ca="1">IF(A91="","",_xludf.TEXTJOIN(" | ",TRUE,B91,C91,D91,E91,F91))</f>
        <v>#NAME?</v>
      </c>
    </row>
    <row r="92" spans="1:8" x14ac:dyDescent="0.35">
      <c r="A92" s="1">
        <f>Registro_Contenedores!A88</f>
        <v>0</v>
      </c>
      <c r="B92" s="1" t="e">
        <f ca="1">IF(A92="","",_xludf.TEXTJOIN(" | ",TRUE,IF(Registro_Contenedores!J88="","Falta Fecha_CAS",""),IF(Registro_Contenedores!K88="","Falta Deposito_Vacio","")))</f>
        <v>#NAME?</v>
      </c>
      <c r="C92" s="1" t="e">
        <f ca="1">IF(A92="","",_xludf.TEXTJOIN(" | ",TRUE,IF(Planif_Grupasa!G88="","Falta Plan_Llegada_Grupasa",""),IF(Planif_Grupasa!H88="","Falta Bodega",""),IF(Planif_Grupasa!I88="","Falta Hora_Descarga","")))</f>
        <v>#NAME?</v>
      </c>
      <c r="D92" s="1" t="e">
        <f ca="1">IF(A92="","",_xludf.TEXTJOIN(" | ",TRUE,IF(Planif_Galagans!H88="","Falta Plan_Llegada_Patio",""),IF(Planif_Galagans!I88="","Falta Plan_Devolucion_Vacio","")))</f>
        <v>#NAME?</v>
      </c>
      <c r="E92" s="1" t="e">
        <f ca="1">IF(A92="","",_xludf.TEXTJOIN(" | ",TRUE,IF(Status_Operativo!J88="","Falta Status_Actual",""),IF(AND(Status_Operativo!J88="ENTREGADO",Status_Operativo!K88=""),"Falta Horario_Entrega_Real",""),IF(AND(Status_Operativo!J88&lt;&gt;"ENTREGADO",Status_Operativo!K88&lt;&gt;""),"Horario_Entrega_Real solo aplica con status ENTREGADO","")))</f>
        <v>#NAME?</v>
      </c>
      <c r="F92" s="1" t="str">
        <f ca="1">IF(A92="","",IF(AND(Status_Operativo!J88="EN PUERTO",Registro_Contenedores!J88-TODAY()&lt;=3,Registro_Contenedores!J88&gt;=TODAY()),"⚠️ ALERTA CAS",""))</f>
        <v/>
      </c>
      <c r="G92" s="1" t="e">
        <f t="shared" ca="1" si="2"/>
        <v>#NAME?</v>
      </c>
      <c r="H92" s="1" t="e">
        <f ca="1">IF(A92="","",_xludf.TEXTJOIN(" | ",TRUE,B92,C92,D92,E92,F92))</f>
        <v>#NAME?</v>
      </c>
    </row>
    <row r="93" spans="1:8" x14ac:dyDescent="0.35">
      <c r="A93" s="1">
        <f>Registro_Contenedores!A89</f>
        <v>0</v>
      </c>
      <c r="B93" s="1" t="e">
        <f ca="1">IF(A93="","",_xludf.TEXTJOIN(" | ",TRUE,IF(Registro_Contenedores!J89="","Falta Fecha_CAS",""),IF(Registro_Contenedores!K89="","Falta Deposito_Vacio","")))</f>
        <v>#NAME?</v>
      </c>
      <c r="C93" s="1" t="e">
        <f ca="1">IF(A93="","",_xludf.TEXTJOIN(" | ",TRUE,IF(Planif_Grupasa!G89="","Falta Plan_Llegada_Grupasa",""),IF(Planif_Grupasa!H89="","Falta Bodega",""),IF(Planif_Grupasa!I89="","Falta Hora_Descarga","")))</f>
        <v>#NAME?</v>
      </c>
      <c r="D93" s="1" t="e">
        <f ca="1">IF(A93="","",_xludf.TEXTJOIN(" | ",TRUE,IF(Planif_Galagans!H89="","Falta Plan_Llegada_Patio",""),IF(Planif_Galagans!I89="","Falta Plan_Devolucion_Vacio","")))</f>
        <v>#NAME?</v>
      </c>
      <c r="E93" s="1" t="e">
        <f ca="1">IF(A93="","",_xludf.TEXTJOIN(" | ",TRUE,IF(Status_Operativo!J89="","Falta Status_Actual",""),IF(AND(Status_Operativo!J89="ENTREGADO",Status_Operativo!K89=""),"Falta Horario_Entrega_Real",""),IF(AND(Status_Operativo!J89&lt;&gt;"ENTREGADO",Status_Operativo!K89&lt;&gt;""),"Horario_Entrega_Real solo aplica con status ENTREGADO","")))</f>
        <v>#NAME?</v>
      </c>
      <c r="F93" s="1" t="str">
        <f ca="1">IF(A93="","",IF(AND(Status_Operativo!J89="EN PUERTO",Registro_Contenedores!J89-TODAY()&lt;=3,Registro_Contenedores!J89&gt;=TODAY()),"⚠️ ALERTA CAS",""))</f>
        <v/>
      </c>
      <c r="G93" s="1" t="e">
        <f t="shared" ca="1" si="2"/>
        <v>#NAME?</v>
      </c>
      <c r="H93" s="1" t="e">
        <f ca="1">IF(A93="","",_xludf.TEXTJOIN(" | ",TRUE,B93,C93,D93,E93,F93))</f>
        <v>#NAME?</v>
      </c>
    </row>
    <row r="94" spans="1:8" x14ac:dyDescent="0.35">
      <c r="A94" s="1">
        <f>Registro_Contenedores!A90</f>
        <v>0</v>
      </c>
      <c r="B94" s="1" t="e">
        <f ca="1">IF(A94="","",_xludf.TEXTJOIN(" | ",TRUE,IF(Registro_Contenedores!J90="","Falta Fecha_CAS",""),IF(Registro_Contenedores!K90="","Falta Deposito_Vacio","")))</f>
        <v>#NAME?</v>
      </c>
      <c r="C94" s="1" t="e">
        <f ca="1">IF(A94="","",_xludf.TEXTJOIN(" | ",TRUE,IF(Planif_Grupasa!G90="","Falta Plan_Llegada_Grupasa",""),IF(Planif_Grupasa!H90="","Falta Bodega",""),IF(Planif_Grupasa!I90="","Falta Hora_Descarga","")))</f>
        <v>#NAME?</v>
      </c>
      <c r="D94" s="1" t="e">
        <f ca="1">IF(A94="","",_xludf.TEXTJOIN(" | ",TRUE,IF(Planif_Galagans!H90="","Falta Plan_Llegada_Patio",""),IF(Planif_Galagans!I90="","Falta Plan_Devolucion_Vacio","")))</f>
        <v>#NAME?</v>
      </c>
      <c r="E94" s="1" t="e">
        <f ca="1">IF(A94="","",_xludf.TEXTJOIN(" | ",TRUE,IF(Status_Operativo!J90="","Falta Status_Actual",""),IF(AND(Status_Operativo!J90="ENTREGADO",Status_Operativo!K90=""),"Falta Horario_Entrega_Real",""),IF(AND(Status_Operativo!J90&lt;&gt;"ENTREGADO",Status_Operativo!K90&lt;&gt;""),"Horario_Entrega_Real solo aplica con status ENTREGADO","")))</f>
        <v>#NAME?</v>
      </c>
      <c r="F94" s="1" t="str">
        <f ca="1">IF(A94="","",IF(AND(Status_Operativo!J90="EN PUERTO",Registro_Contenedores!J90-TODAY()&lt;=3,Registro_Contenedores!J90&gt;=TODAY()),"⚠️ ALERTA CAS",""))</f>
        <v/>
      </c>
      <c r="G94" s="1" t="e">
        <f t="shared" ca="1" si="2"/>
        <v>#NAME?</v>
      </c>
      <c r="H94" s="1" t="e">
        <f ca="1">IF(A94="","",_xludf.TEXTJOIN(" | ",TRUE,B94,C94,D94,E94,F94))</f>
        <v>#NAME?</v>
      </c>
    </row>
    <row r="95" spans="1:8" x14ac:dyDescent="0.35">
      <c r="A95" s="1">
        <f>Registro_Contenedores!A91</f>
        <v>0</v>
      </c>
      <c r="B95" s="1" t="e">
        <f ca="1">IF(A95="","",_xludf.TEXTJOIN(" | ",TRUE,IF(Registro_Contenedores!J91="","Falta Fecha_CAS",""),IF(Registro_Contenedores!K91="","Falta Deposito_Vacio","")))</f>
        <v>#NAME?</v>
      </c>
      <c r="C95" s="1" t="e">
        <f ca="1">IF(A95="","",_xludf.TEXTJOIN(" | ",TRUE,IF(Planif_Grupasa!G91="","Falta Plan_Llegada_Grupasa",""),IF(Planif_Grupasa!H91="","Falta Bodega",""),IF(Planif_Grupasa!I91="","Falta Hora_Descarga","")))</f>
        <v>#NAME?</v>
      </c>
      <c r="D95" s="1" t="e">
        <f ca="1">IF(A95="","",_xludf.TEXTJOIN(" | ",TRUE,IF(Planif_Galagans!H91="","Falta Plan_Llegada_Patio",""),IF(Planif_Galagans!I91="","Falta Plan_Devolucion_Vacio","")))</f>
        <v>#NAME?</v>
      </c>
      <c r="E95" s="1" t="e">
        <f ca="1">IF(A95="","",_xludf.TEXTJOIN(" | ",TRUE,IF(Status_Operativo!J91="","Falta Status_Actual",""),IF(AND(Status_Operativo!J91="ENTREGADO",Status_Operativo!K91=""),"Falta Horario_Entrega_Real",""),IF(AND(Status_Operativo!J91&lt;&gt;"ENTREGADO",Status_Operativo!K91&lt;&gt;""),"Horario_Entrega_Real solo aplica con status ENTREGADO","")))</f>
        <v>#NAME?</v>
      </c>
      <c r="F95" s="1" t="str">
        <f ca="1">IF(A95="","",IF(AND(Status_Operativo!J91="EN PUERTO",Registro_Contenedores!J91-TODAY()&lt;=3,Registro_Contenedores!J91&gt;=TODAY()),"⚠️ ALERTA CAS",""))</f>
        <v/>
      </c>
      <c r="G95" s="1" t="e">
        <f t="shared" ca="1" si="2"/>
        <v>#NAME?</v>
      </c>
      <c r="H95" s="1" t="e">
        <f ca="1">IF(A95="","",_xludf.TEXTJOIN(" | ",TRUE,B95,C95,D95,E95,F95))</f>
        <v>#NAME?</v>
      </c>
    </row>
    <row r="96" spans="1:8" x14ac:dyDescent="0.35">
      <c r="A96" s="1">
        <f>Registro_Contenedores!A92</f>
        <v>0</v>
      </c>
      <c r="B96" s="1" t="e">
        <f ca="1">IF(A96="","",_xludf.TEXTJOIN(" | ",TRUE,IF(Registro_Contenedores!J92="","Falta Fecha_CAS",""),IF(Registro_Contenedores!K92="","Falta Deposito_Vacio","")))</f>
        <v>#NAME?</v>
      </c>
      <c r="C96" s="1" t="e">
        <f ca="1">IF(A96="","",_xludf.TEXTJOIN(" | ",TRUE,IF(Planif_Grupasa!G92="","Falta Plan_Llegada_Grupasa",""),IF(Planif_Grupasa!H92="","Falta Bodega",""),IF(Planif_Grupasa!I92="","Falta Hora_Descarga","")))</f>
        <v>#NAME?</v>
      </c>
      <c r="D96" s="1" t="e">
        <f ca="1">IF(A96="","",_xludf.TEXTJOIN(" | ",TRUE,IF(Planif_Galagans!H92="","Falta Plan_Llegada_Patio",""),IF(Planif_Galagans!I92="","Falta Plan_Devolucion_Vacio","")))</f>
        <v>#NAME?</v>
      </c>
      <c r="E96" s="1" t="e">
        <f ca="1">IF(A96="","",_xludf.TEXTJOIN(" | ",TRUE,IF(Status_Operativo!J92="","Falta Status_Actual",""),IF(AND(Status_Operativo!J92="ENTREGADO",Status_Operativo!K92=""),"Falta Horario_Entrega_Real",""),IF(AND(Status_Operativo!J92&lt;&gt;"ENTREGADO",Status_Operativo!K92&lt;&gt;""),"Horario_Entrega_Real solo aplica con status ENTREGADO","")))</f>
        <v>#NAME?</v>
      </c>
      <c r="F96" s="1" t="str">
        <f ca="1">IF(A96="","",IF(AND(Status_Operativo!J92="EN PUERTO",Registro_Contenedores!J92-TODAY()&lt;=3,Registro_Contenedores!J92&gt;=TODAY()),"⚠️ ALERTA CAS",""))</f>
        <v/>
      </c>
      <c r="G96" s="1" t="e">
        <f t="shared" ca="1" si="2"/>
        <v>#NAME?</v>
      </c>
      <c r="H96" s="1" t="e">
        <f ca="1">IF(A96="","",_xludf.TEXTJOIN(" | ",TRUE,B96,C96,D96,E96,F96))</f>
        <v>#NAME?</v>
      </c>
    </row>
    <row r="97" spans="1:8" x14ac:dyDescent="0.35">
      <c r="A97" s="1">
        <f>Registro_Contenedores!A93</f>
        <v>0</v>
      </c>
      <c r="B97" s="1" t="e">
        <f ca="1">IF(A97="","",_xludf.TEXTJOIN(" | ",TRUE,IF(Registro_Contenedores!J93="","Falta Fecha_CAS",""),IF(Registro_Contenedores!K93="","Falta Deposito_Vacio","")))</f>
        <v>#NAME?</v>
      </c>
      <c r="C97" s="1" t="e">
        <f ca="1">IF(A97="","",_xludf.TEXTJOIN(" | ",TRUE,IF(Planif_Grupasa!G93="","Falta Plan_Llegada_Grupasa",""),IF(Planif_Grupasa!H93="","Falta Bodega",""),IF(Planif_Grupasa!I93="","Falta Hora_Descarga","")))</f>
        <v>#NAME?</v>
      </c>
      <c r="D97" s="1" t="e">
        <f ca="1">IF(A97="","",_xludf.TEXTJOIN(" | ",TRUE,IF(Planif_Galagans!H93="","Falta Plan_Llegada_Patio",""),IF(Planif_Galagans!I93="","Falta Plan_Devolucion_Vacio","")))</f>
        <v>#NAME?</v>
      </c>
      <c r="E97" s="1" t="e">
        <f ca="1">IF(A97="","",_xludf.TEXTJOIN(" | ",TRUE,IF(Status_Operativo!J93="","Falta Status_Actual",""),IF(AND(Status_Operativo!J93="ENTREGADO",Status_Operativo!K93=""),"Falta Horario_Entrega_Real",""),IF(AND(Status_Operativo!J93&lt;&gt;"ENTREGADO",Status_Operativo!K93&lt;&gt;""),"Horario_Entrega_Real solo aplica con status ENTREGADO","")))</f>
        <v>#NAME?</v>
      </c>
      <c r="F97" s="1" t="str">
        <f ca="1">IF(A97="","",IF(AND(Status_Operativo!J93="EN PUERTO",Registro_Contenedores!J93-TODAY()&lt;=3,Registro_Contenedores!J93&gt;=TODAY()),"⚠️ ALERTA CAS",""))</f>
        <v/>
      </c>
      <c r="G97" s="1" t="e">
        <f t="shared" ca="1" si="2"/>
        <v>#NAME?</v>
      </c>
      <c r="H97" s="1" t="e">
        <f ca="1">IF(A97="","",_xludf.TEXTJOIN(" | ",TRUE,B97,C97,D97,E97,F97))</f>
        <v>#NAME?</v>
      </c>
    </row>
    <row r="98" spans="1:8" x14ac:dyDescent="0.35">
      <c r="A98" s="1">
        <f>Registro_Contenedores!A94</f>
        <v>0</v>
      </c>
      <c r="B98" s="1" t="e">
        <f ca="1">IF(A98="","",_xludf.TEXTJOIN(" | ",TRUE,IF(Registro_Contenedores!J94="","Falta Fecha_CAS",""),IF(Registro_Contenedores!K94="","Falta Deposito_Vacio","")))</f>
        <v>#NAME?</v>
      </c>
      <c r="C98" s="1" t="e">
        <f ca="1">IF(A98="","",_xludf.TEXTJOIN(" | ",TRUE,IF(Planif_Grupasa!G94="","Falta Plan_Llegada_Grupasa",""),IF(Planif_Grupasa!H94="","Falta Bodega",""),IF(Planif_Grupasa!I94="","Falta Hora_Descarga","")))</f>
        <v>#NAME?</v>
      </c>
      <c r="D98" s="1" t="e">
        <f ca="1">IF(A98="","",_xludf.TEXTJOIN(" | ",TRUE,IF(Planif_Galagans!H94="","Falta Plan_Llegada_Patio",""),IF(Planif_Galagans!I94="","Falta Plan_Devolucion_Vacio","")))</f>
        <v>#NAME?</v>
      </c>
      <c r="E98" s="1" t="e">
        <f ca="1">IF(A98="","",_xludf.TEXTJOIN(" | ",TRUE,IF(Status_Operativo!J94="","Falta Status_Actual",""),IF(AND(Status_Operativo!J94="ENTREGADO",Status_Operativo!K94=""),"Falta Horario_Entrega_Real",""),IF(AND(Status_Operativo!J94&lt;&gt;"ENTREGADO",Status_Operativo!K94&lt;&gt;""),"Horario_Entrega_Real solo aplica con status ENTREGADO","")))</f>
        <v>#NAME?</v>
      </c>
      <c r="F98" s="1" t="str">
        <f ca="1">IF(A98="","",IF(AND(Status_Operativo!J94="EN PUERTO",Registro_Contenedores!J94-TODAY()&lt;=3,Registro_Contenedores!J94&gt;=TODAY()),"⚠️ ALERTA CAS",""))</f>
        <v/>
      </c>
      <c r="G98" s="1" t="e">
        <f t="shared" ca="1" si="2"/>
        <v>#NAME?</v>
      </c>
      <c r="H98" s="1" t="e">
        <f ca="1">IF(A98="","",_xludf.TEXTJOIN(" | ",TRUE,B98,C98,D98,E98,F98))</f>
        <v>#NAME?</v>
      </c>
    </row>
    <row r="99" spans="1:8" x14ac:dyDescent="0.35">
      <c r="A99" s="1">
        <f>Registro_Contenedores!A95</f>
        <v>0</v>
      </c>
      <c r="B99" s="1" t="e">
        <f ca="1">IF(A99="","",_xludf.TEXTJOIN(" | ",TRUE,IF(Registro_Contenedores!J95="","Falta Fecha_CAS",""),IF(Registro_Contenedores!K95="","Falta Deposito_Vacio","")))</f>
        <v>#NAME?</v>
      </c>
      <c r="C99" s="1" t="e">
        <f ca="1">IF(A99="","",_xludf.TEXTJOIN(" | ",TRUE,IF(Planif_Grupasa!G95="","Falta Plan_Llegada_Grupasa",""),IF(Planif_Grupasa!H95="","Falta Bodega",""),IF(Planif_Grupasa!I95="","Falta Hora_Descarga","")))</f>
        <v>#NAME?</v>
      </c>
      <c r="D99" s="1" t="e">
        <f ca="1">IF(A99="","",_xludf.TEXTJOIN(" | ",TRUE,IF(Planif_Galagans!H95="","Falta Plan_Llegada_Patio",""),IF(Planif_Galagans!I95="","Falta Plan_Devolucion_Vacio","")))</f>
        <v>#NAME?</v>
      </c>
      <c r="E99" s="1" t="e">
        <f ca="1">IF(A99="","",_xludf.TEXTJOIN(" | ",TRUE,IF(Status_Operativo!J95="","Falta Status_Actual",""),IF(AND(Status_Operativo!J95="ENTREGADO",Status_Operativo!K95=""),"Falta Horario_Entrega_Real",""),IF(AND(Status_Operativo!J95&lt;&gt;"ENTREGADO",Status_Operativo!K95&lt;&gt;""),"Horario_Entrega_Real solo aplica con status ENTREGADO","")))</f>
        <v>#NAME?</v>
      </c>
      <c r="F99" s="1" t="str">
        <f ca="1">IF(A99="","",IF(AND(Status_Operativo!J95="EN PUERTO",Registro_Contenedores!J95-TODAY()&lt;=3,Registro_Contenedores!J95&gt;=TODAY()),"⚠️ ALERTA CAS",""))</f>
        <v/>
      </c>
      <c r="G99" s="1" t="e">
        <f t="shared" ca="1" si="2"/>
        <v>#NAME?</v>
      </c>
      <c r="H99" s="1" t="e">
        <f ca="1">IF(A99="","",_xludf.TEXTJOIN(" | ",TRUE,B99,C99,D99,E99,F99))</f>
        <v>#NAME?</v>
      </c>
    </row>
    <row r="100" spans="1:8" x14ac:dyDescent="0.35">
      <c r="A100" s="1">
        <f>Registro_Contenedores!A96</f>
        <v>0</v>
      </c>
      <c r="B100" s="1" t="e">
        <f ca="1">IF(A100="","",_xludf.TEXTJOIN(" | ",TRUE,IF(Registro_Contenedores!J96="","Falta Fecha_CAS",""),IF(Registro_Contenedores!K96="","Falta Deposito_Vacio","")))</f>
        <v>#NAME?</v>
      </c>
      <c r="C100" s="1" t="e">
        <f ca="1">IF(A100="","",_xludf.TEXTJOIN(" | ",TRUE,IF(Planif_Grupasa!G96="","Falta Plan_Llegada_Grupasa",""),IF(Planif_Grupasa!H96="","Falta Bodega",""),IF(Planif_Grupasa!I96="","Falta Hora_Descarga","")))</f>
        <v>#NAME?</v>
      </c>
      <c r="D100" s="1" t="e">
        <f ca="1">IF(A100="","",_xludf.TEXTJOIN(" | ",TRUE,IF(Planif_Galagans!H96="","Falta Plan_Llegada_Patio",""),IF(Planif_Galagans!I96="","Falta Plan_Devolucion_Vacio","")))</f>
        <v>#NAME?</v>
      </c>
      <c r="E100" s="1" t="e">
        <f ca="1">IF(A100="","",_xludf.TEXTJOIN(" | ",TRUE,IF(Status_Operativo!J96="","Falta Status_Actual",""),IF(AND(Status_Operativo!J96="ENTREGADO",Status_Operativo!K96=""),"Falta Horario_Entrega_Real",""),IF(AND(Status_Operativo!J96&lt;&gt;"ENTREGADO",Status_Operativo!K96&lt;&gt;""),"Horario_Entrega_Real solo aplica con status ENTREGADO","")))</f>
        <v>#NAME?</v>
      </c>
      <c r="F100" s="1" t="str">
        <f ca="1">IF(A100="","",IF(AND(Status_Operativo!J96="EN PUERTO",Registro_Contenedores!J96-TODAY()&lt;=3,Registro_Contenedores!J96&gt;=TODAY()),"⚠️ ALERTA CAS",""))</f>
        <v/>
      </c>
      <c r="G100" s="1" t="e">
        <f t="shared" ca="1" si="2"/>
        <v>#NAME?</v>
      </c>
      <c r="H100" s="1" t="e">
        <f ca="1">IF(A100="","",_xludf.TEXTJOIN(" | ",TRUE,B100,C100,D100,E100,F100))</f>
        <v>#NAME?</v>
      </c>
    </row>
    <row r="101" spans="1:8" x14ac:dyDescent="0.35">
      <c r="A101" s="1">
        <f>Registro_Contenedores!A97</f>
        <v>0</v>
      </c>
      <c r="B101" s="1" t="e">
        <f ca="1">IF(A101="","",_xludf.TEXTJOIN(" | ",TRUE,IF(Registro_Contenedores!J97="","Falta Fecha_CAS",""),IF(Registro_Contenedores!K97="","Falta Deposito_Vacio","")))</f>
        <v>#NAME?</v>
      </c>
      <c r="C101" s="1" t="e">
        <f ca="1">IF(A101="","",_xludf.TEXTJOIN(" | ",TRUE,IF(Planif_Grupasa!G97="","Falta Plan_Llegada_Grupasa",""),IF(Planif_Grupasa!H97="","Falta Bodega",""),IF(Planif_Grupasa!I97="","Falta Hora_Descarga","")))</f>
        <v>#NAME?</v>
      </c>
      <c r="D101" s="1" t="e">
        <f ca="1">IF(A101="","",_xludf.TEXTJOIN(" | ",TRUE,IF(Planif_Galagans!H97="","Falta Plan_Llegada_Patio",""),IF(Planif_Galagans!I97="","Falta Plan_Devolucion_Vacio","")))</f>
        <v>#NAME?</v>
      </c>
      <c r="E101" s="1" t="e">
        <f ca="1">IF(A101="","",_xludf.TEXTJOIN(" | ",TRUE,IF(Status_Operativo!J97="","Falta Status_Actual",""),IF(AND(Status_Operativo!J97="ENTREGADO",Status_Operativo!K97=""),"Falta Horario_Entrega_Real",""),IF(AND(Status_Operativo!J97&lt;&gt;"ENTREGADO",Status_Operativo!K97&lt;&gt;""),"Horario_Entrega_Real solo aplica con status ENTREGADO","")))</f>
        <v>#NAME?</v>
      </c>
      <c r="F101" s="1" t="str">
        <f ca="1">IF(A101="","",IF(AND(Status_Operativo!J97="EN PUERTO",Registro_Contenedores!J97-TODAY()&lt;=3,Registro_Contenedores!J97&gt;=TODAY()),"⚠️ ALERTA CAS",""))</f>
        <v/>
      </c>
      <c r="G101" s="1" t="e">
        <f t="shared" ca="1" si="2"/>
        <v>#NAME?</v>
      </c>
      <c r="H101" s="1" t="e">
        <f ca="1">IF(A101="","",_xludf.TEXTJOIN(" | ",TRUE,B101,C101,D101,E101,F101))</f>
        <v>#NAME?</v>
      </c>
    </row>
    <row r="102" spans="1:8" x14ac:dyDescent="0.35">
      <c r="A102" s="1">
        <f>Registro_Contenedores!A98</f>
        <v>0</v>
      </c>
      <c r="B102" s="1" t="e">
        <f ca="1">IF(A102="","",_xludf.TEXTJOIN(" | ",TRUE,IF(Registro_Contenedores!J98="","Falta Fecha_CAS",""),IF(Registro_Contenedores!K98="","Falta Deposito_Vacio","")))</f>
        <v>#NAME?</v>
      </c>
      <c r="C102" s="1" t="e">
        <f ca="1">IF(A102="","",_xludf.TEXTJOIN(" | ",TRUE,IF(Planif_Grupasa!G98="","Falta Plan_Llegada_Grupasa",""),IF(Planif_Grupasa!H98="","Falta Bodega",""),IF(Planif_Grupasa!I98="","Falta Hora_Descarga","")))</f>
        <v>#NAME?</v>
      </c>
      <c r="D102" s="1" t="e">
        <f ca="1">IF(A102="","",_xludf.TEXTJOIN(" | ",TRUE,IF(Planif_Galagans!H98="","Falta Plan_Llegada_Patio",""),IF(Planif_Galagans!I98="","Falta Plan_Devolucion_Vacio","")))</f>
        <v>#NAME?</v>
      </c>
      <c r="E102" s="1" t="e">
        <f ca="1">IF(A102="","",_xludf.TEXTJOIN(" | ",TRUE,IF(Status_Operativo!J98="","Falta Status_Actual",""),IF(AND(Status_Operativo!J98="ENTREGADO",Status_Operativo!K98=""),"Falta Horario_Entrega_Real",""),IF(AND(Status_Operativo!J98&lt;&gt;"ENTREGADO",Status_Operativo!K98&lt;&gt;""),"Horario_Entrega_Real solo aplica con status ENTREGADO","")))</f>
        <v>#NAME?</v>
      </c>
      <c r="F102" s="1" t="str">
        <f ca="1">IF(A102="","",IF(AND(Status_Operativo!J98="EN PUERTO",Registro_Contenedores!J98-TODAY()&lt;=3,Registro_Contenedores!J98&gt;=TODAY()),"⚠️ ALERTA CAS",""))</f>
        <v/>
      </c>
      <c r="G102" s="1" t="e">
        <f t="shared" ca="1" si="2"/>
        <v>#NAME?</v>
      </c>
      <c r="H102" s="1" t="e">
        <f ca="1">IF(A102="","",_xludf.TEXTJOIN(" | ",TRUE,B102,C102,D102,E102,F102))</f>
        <v>#NAME?</v>
      </c>
    </row>
    <row r="103" spans="1:8" x14ac:dyDescent="0.35">
      <c r="A103" s="1">
        <f>Registro_Contenedores!A99</f>
        <v>0</v>
      </c>
      <c r="B103" s="1" t="e">
        <f ca="1">IF(A103="","",_xludf.TEXTJOIN(" | ",TRUE,IF(Registro_Contenedores!J99="","Falta Fecha_CAS",""),IF(Registro_Contenedores!K99="","Falta Deposito_Vacio","")))</f>
        <v>#NAME?</v>
      </c>
      <c r="C103" s="1" t="e">
        <f ca="1">IF(A103="","",_xludf.TEXTJOIN(" | ",TRUE,IF(Planif_Grupasa!G99="","Falta Plan_Llegada_Grupasa",""),IF(Planif_Grupasa!H99="","Falta Bodega",""),IF(Planif_Grupasa!I99="","Falta Hora_Descarga","")))</f>
        <v>#NAME?</v>
      </c>
      <c r="D103" s="1" t="e">
        <f ca="1">IF(A103="","",_xludf.TEXTJOIN(" | ",TRUE,IF(Planif_Galagans!H99="","Falta Plan_Llegada_Patio",""),IF(Planif_Galagans!I99="","Falta Plan_Devolucion_Vacio","")))</f>
        <v>#NAME?</v>
      </c>
      <c r="E103" s="1" t="e">
        <f ca="1">IF(A103="","",_xludf.TEXTJOIN(" | ",TRUE,IF(Status_Operativo!J99="","Falta Status_Actual",""),IF(AND(Status_Operativo!J99="ENTREGADO",Status_Operativo!K99=""),"Falta Horario_Entrega_Real",""),IF(AND(Status_Operativo!J99&lt;&gt;"ENTREGADO",Status_Operativo!K99&lt;&gt;""),"Horario_Entrega_Real solo aplica con status ENTREGADO","")))</f>
        <v>#NAME?</v>
      </c>
      <c r="F103" s="1" t="str">
        <f ca="1">IF(A103="","",IF(AND(Status_Operativo!J99="EN PUERTO",Registro_Contenedores!J99-TODAY()&lt;=3,Registro_Contenedores!J99&gt;=TODAY()),"⚠️ ALERTA CAS",""))</f>
        <v/>
      </c>
      <c r="G103" s="1" t="e">
        <f t="shared" ca="1" si="2"/>
        <v>#NAME?</v>
      </c>
      <c r="H103" s="1" t="e">
        <f ca="1">IF(A103="","",_xludf.TEXTJOIN(" | ",TRUE,B103,C103,D103,E103,F103))</f>
        <v>#NAME?</v>
      </c>
    </row>
    <row r="104" spans="1:8" x14ac:dyDescent="0.35">
      <c r="A104" s="1">
        <f>Registro_Contenedores!A100</f>
        <v>0</v>
      </c>
      <c r="B104" s="1" t="e">
        <f ca="1">IF(A104="","",_xludf.TEXTJOIN(" | ",TRUE,IF(Registro_Contenedores!J100="","Falta Fecha_CAS",""),IF(Registro_Contenedores!K100="","Falta Deposito_Vacio","")))</f>
        <v>#NAME?</v>
      </c>
      <c r="C104" s="1" t="e">
        <f ca="1">IF(A104="","",_xludf.TEXTJOIN(" | ",TRUE,IF(Planif_Grupasa!G100="","Falta Plan_Llegada_Grupasa",""),IF(Planif_Grupasa!H100="","Falta Bodega",""),IF(Planif_Grupasa!I100="","Falta Hora_Descarga","")))</f>
        <v>#NAME?</v>
      </c>
      <c r="D104" s="1" t="e">
        <f ca="1">IF(A104="","",_xludf.TEXTJOIN(" | ",TRUE,IF(Planif_Galagans!H100="","Falta Plan_Llegada_Patio",""),IF(Planif_Galagans!I100="","Falta Plan_Devolucion_Vacio","")))</f>
        <v>#NAME?</v>
      </c>
      <c r="E104" s="1" t="e">
        <f ca="1">IF(A104="","",_xludf.TEXTJOIN(" | ",TRUE,IF(Status_Operativo!J100="","Falta Status_Actual",""),IF(AND(Status_Operativo!J100="ENTREGADO",Status_Operativo!K100=""),"Falta Horario_Entrega_Real",""),IF(AND(Status_Operativo!J100&lt;&gt;"ENTREGADO",Status_Operativo!K100&lt;&gt;""),"Horario_Entrega_Real solo aplica con status ENTREGADO","")))</f>
        <v>#NAME?</v>
      </c>
      <c r="F104" s="1" t="str">
        <f ca="1">IF(A104="","",IF(AND(Status_Operativo!J100="EN PUERTO",Registro_Contenedores!J100-TODAY()&lt;=3,Registro_Contenedores!J100&gt;=TODAY()),"⚠️ ALERTA CAS",""))</f>
        <v/>
      </c>
      <c r="G104" s="1" t="e">
        <f t="shared" ref="G104:G135" ca="1" si="3">IF(A104="","",IF(LEN(B104&amp;C104&amp;D104&amp;E104)&gt;0,"ERROR","OK"))</f>
        <v>#NAME?</v>
      </c>
      <c r="H104" s="1" t="e">
        <f ca="1">IF(A104="","",_xludf.TEXTJOIN(" | ",TRUE,B104,C104,D104,E104,F104))</f>
        <v>#NAME?</v>
      </c>
    </row>
    <row r="105" spans="1:8" x14ac:dyDescent="0.35">
      <c r="A105" s="1">
        <f>Registro_Contenedores!A101</f>
        <v>0</v>
      </c>
      <c r="B105" s="1" t="e">
        <f ca="1">IF(A105="","",_xludf.TEXTJOIN(" | ",TRUE,IF(Registro_Contenedores!J101="","Falta Fecha_CAS",""),IF(Registro_Contenedores!K101="","Falta Deposito_Vacio","")))</f>
        <v>#NAME?</v>
      </c>
      <c r="C105" s="1" t="e">
        <f ca="1">IF(A105="","",_xludf.TEXTJOIN(" | ",TRUE,IF(Planif_Grupasa!G101="","Falta Plan_Llegada_Grupasa",""),IF(Planif_Grupasa!H101="","Falta Bodega",""),IF(Planif_Grupasa!I101="","Falta Hora_Descarga","")))</f>
        <v>#NAME?</v>
      </c>
      <c r="D105" s="1" t="e">
        <f ca="1">IF(A105="","",_xludf.TEXTJOIN(" | ",TRUE,IF(Planif_Galagans!H101="","Falta Plan_Llegada_Patio",""),IF(Planif_Galagans!I101="","Falta Plan_Devolucion_Vacio","")))</f>
        <v>#NAME?</v>
      </c>
      <c r="E105" s="1" t="e">
        <f ca="1">IF(A105="","",_xludf.TEXTJOIN(" | ",TRUE,IF(Status_Operativo!J101="","Falta Status_Actual",""),IF(AND(Status_Operativo!J101="ENTREGADO",Status_Operativo!K101=""),"Falta Horario_Entrega_Real",""),IF(AND(Status_Operativo!J101&lt;&gt;"ENTREGADO",Status_Operativo!K101&lt;&gt;""),"Horario_Entrega_Real solo aplica con status ENTREGADO","")))</f>
        <v>#NAME?</v>
      </c>
      <c r="F105" s="1" t="str">
        <f ca="1">IF(A105="","",IF(AND(Status_Operativo!J101="EN PUERTO",Registro_Contenedores!J101-TODAY()&lt;=3,Registro_Contenedores!J101&gt;=TODAY()),"⚠️ ALERTA CAS",""))</f>
        <v/>
      </c>
      <c r="G105" s="1" t="e">
        <f t="shared" ca="1" si="3"/>
        <v>#NAME?</v>
      </c>
      <c r="H105" s="1" t="e">
        <f ca="1">IF(A105="","",_xludf.TEXTJOIN(" | ",TRUE,B105,C105,D105,E105,F105))</f>
        <v>#NAME?</v>
      </c>
    </row>
    <row r="106" spans="1:8" x14ac:dyDescent="0.35">
      <c r="A106" s="1">
        <f>Registro_Contenedores!A102</f>
        <v>0</v>
      </c>
      <c r="B106" s="1" t="e">
        <f ca="1">IF(A106="","",_xludf.TEXTJOIN(" | ",TRUE,IF(Registro_Contenedores!J102="","Falta Fecha_CAS",""),IF(Registro_Contenedores!K102="","Falta Deposito_Vacio","")))</f>
        <v>#NAME?</v>
      </c>
      <c r="C106" s="1" t="e">
        <f ca="1">IF(A106="","",_xludf.TEXTJOIN(" | ",TRUE,IF(Planif_Grupasa!G102="","Falta Plan_Llegada_Grupasa",""),IF(Planif_Grupasa!H102="","Falta Bodega",""),IF(Planif_Grupasa!I102="","Falta Hora_Descarga","")))</f>
        <v>#NAME?</v>
      </c>
      <c r="D106" s="1" t="e">
        <f ca="1">IF(A106="","",_xludf.TEXTJOIN(" | ",TRUE,IF(Planif_Galagans!H102="","Falta Plan_Llegada_Patio",""),IF(Planif_Galagans!I102="","Falta Plan_Devolucion_Vacio","")))</f>
        <v>#NAME?</v>
      </c>
      <c r="E106" s="1" t="e">
        <f ca="1">IF(A106="","",_xludf.TEXTJOIN(" | ",TRUE,IF(Status_Operativo!J102="","Falta Status_Actual",""),IF(AND(Status_Operativo!J102="ENTREGADO",Status_Operativo!K102=""),"Falta Horario_Entrega_Real",""),IF(AND(Status_Operativo!J102&lt;&gt;"ENTREGADO",Status_Operativo!K102&lt;&gt;""),"Horario_Entrega_Real solo aplica con status ENTREGADO","")))</f>
        <v>#NAME?</v>
      </c>
      <c r="F106" s="1" t="str">
        <f ca="1">IF(A106="","",IF(AND(Status_Operativo!J102="EN PUERTO",Registro_Contenedores!J102-TODAY()&lt;=3,Registro_Contenedores!J102&gt;=TODAY()),"⚠️ ALERTA CAS",""))</f>
        <v/>
      </c>
      <c r="G106" s="1" t="e">
        <f t="shared" ca="1" si="3"/>
        <v>#NAME?</v>
      </c>
      <c r="H106" s="1" t="e">
        <f ca="1">IF(A106="","",_xludf.TEXTJOIN(" | ",TRUE,B106,C106,D106,E106,F106))</f>
        <v>#NAME?</v>
      </c>
    </row>
    <row r="107" spans="1:8" x14ac:dyDescent="0.35">
      <c r="A107" s="1">
        <f>Registro_Contenedores!A103</f>
        <v>0</v>
      </c>
      <c r="B107" s="1" t="e">
        <f ca="1">IF(A107="","",_xludf.TEXTJOIN(" | ",TRUE,IF(Registro_Contenedores!J103="","Falta Fecha_CAS",""),IF(Registro_Contenedores!K103="","Falta Deposito_Vacio","")))</f>
        <v>#NAME?</v>
      </c>
      <c r="C107" s="1" t="e">
        <f ca="1">IF(A107="","",_xludf.TEXTJOIN(" | ",TRUE,IF(Planif_Grupasa!G103="","Falta Plan_Llegada_Grupasa",""),IF(Planif_Grupasa!H103="","Falta Bodega",""),IF(Planif_Grupasa!I103="","Falta Hora_Descarga","")))</f>
        <v>#NAME?</v>
      </c>
      <c r="D107" s="1" t="e">
        <f ca="1">IF(A107="","",_xludf.TEXTJOIN(" | ",TRUE,IF(Planif_Galagans!H103="","Falta Plan_Llegada_Patio",""),IF(Planif_Galagans!I103="","Falta Plan_Devolucion_Vacio","")))</f>
        <v>#NAME?</v>
      </c>
      <c r="E107" s="1" t="e">
        <f ca="1">IF(A107="","",_xludf.TEXTJOIN(" | ",TRUE,IF(Status_Operativo!J103="","Falta Status_Actual",""),IF(AND(Status_Operativo!J103="ENTREGADO",Status_Operativo!K103=""),"Falta Horario_Entrega_Real",""),IF(AND(Status_Operativo!J103&lt;&gt;"ENTREGADO",Status_Operativo!K103&lt;&gt;""),"Horario_Entrega_Real solo aplica con status ENTREGADO","")))</f>
        <v>#NAME?</v>
      </c>
      <c r="F107" s="1" t="str">
        <f ca="1">IF(A107="","",IF(AND(Status_Operativo!J103="EN PUERTO",Registro_Contenedores!J103-TODAY()&lt;=3,Registro_Contenedores!J103&gt;=TODAY()),"⚠️ ALERTA CAS",""))</f>
        <v/>
      </c>
      <c r="G107" s="1" t="e">
        <f t="shared" ca="1" si="3"/>
        <v>#NAME?</v>
      </c>
      <c r="H107" s="1" t="e">
        <f ca="1">IF(A107="","",_xludf.TEXTJOIN(" | ",TRUE,B107,C107,D107,E107,F107))</f>
        <v>#NAME?</v>
      </c>
    </row>
    <row r="108" spans="1:8" x14ac:dyDescent="0.35">
      <c r="A108" s="1">
        <f>Registro_Contenedores!A104</f>
        <v>0</v>
      </c>
      <c r="B108" s="1" t="e">
        <f ca="1">IF(A108="","",_xludf.TEXTJOIN(" | ",TRUE,IF(Registro_Contenedores!J104="","Falta Fecha_CAS",""),IF(Registro_Contenedores!K104="","Falta Deposito_Vacio","")))</f>
        <v>#NAME?</v>
      </c>
      <c r="C108" s="1" t="e">
        <f ca="1">IF(A108="","",_xludf.TEXTJOIN(" | ",TRUE,IF(Planif_Grupasa!G104="","Falta Plan_Llegada_Grupasa",""),IF(Planif_Grupasa!H104="","Falta Bodega",""),IF(Planif_Grupasa!I104="","Falta Hora_Descarga","")))</f>
        <v>#NAME?</v>
      </c>
      <c r="D108" s="1" t="e">
        <f ca="1">IF(A108="","",_xludf.TEXTJOIN(" | ",TRUE,IF(Planif_Galagans!H104="","Falta Plan_Llegada_Patio",""),IF(Planif_Galagans!I104="","Falta Plan_Devolucion_Vacio","")))</f>
        <v>#NAME?</v>
      </c>
      <c r="E108" s="1" t="e">
        <f ca="1">IF(A108="","",_xludf.TEXTJOIN(" | ",TRUE,IF(Status_Operativo!J104="","Falta Status_Actual",""),IF(AND(Status_Operativo!J104="ENTREGADO",Status_Operativo!K104=""),"Falta Horario_Entrega_Real",""),IF(AND(Status_Operativo!J104&lt;&gt;"ENTREGADO",Status_Operativo!K104&lt;&gt;""),"Horario_Entrega_Real solo aplica con status ENTREGADO","")))</f>
        <v>#NAME?</v>
      </c>
      <c r="F108" s="1" t="str">
        <f ca="1">IF(A108="","",IF(AND(Status_Operativo!J104="EN PUERTO",Registro_Contenedores!J104-TODAY()&lt;=3,Registro_Contenedores!J104&gt;=TODAY()),"⚠️ ALERTA CAS",""))</f>
        <v/>
      </c>
      <c r="G108" s="1" t="e">
        <f t="shared" ca="1" si="3"/>
        <v>#NAME?</v>
      </c>
      <c r="H108" s="1" t="e">
        <f ca="1">IF(A108="","",_xludf.TEXTJOIN(" | ",TRUE,B108,C108,D108,E108,F108))</f>
        <v>#NAME?</v>
      </c>
    </row>
    <row r="109" spans="1:8" x14ac:dyDescent="0.35">
      <c r="A109" s="1">
        <f>Registro_Contenedores!A105</f>
        <v>0</v>
      </c>
      <c r="B109" s="1" t="e">
        <f ca="1">IF(A109="","",_xludf.TEXTJOIN(" | ",TRUE,IF(Registro_Contenedores!J105="","Falta Fecha_CAS",""),IF(Registro_Contenedores!K105="","Falta Deposito_Vacio","")))</f>
        <v>#NAME?</v>
      </c>
      <c r="C109" s="1" t="e">
        <f ca="1">IF(A109="","",_xludf.TEXTJOIN(" | ",TRUE,IF(Planif_Grupasa!G105="","Falta Plan_Llegada_Grupasa",""),IF(Planif_Grupasa!H105="","Falta Bodega",""),IF(Planif_Grupasa!I105="","Falta Hora_Descarga","")))</f>
        <v>#NAME?</v>
      </c>
      <c r="D109" s="1" t="e">
        <f ca="1">IF(A109="","",_xludf.TEXTJOIN(" | ",TRUE,IF(Planif_Galagans!H105="","Falta Plan_Llegada_Patio",""),IF(Planif_Galagans!I105="","Falta Plan_Devolucion_Vacio","")))</f>
        <v>#NAME?</v>
      </c>
      <c r="E109" s="1" t="e">
        <f ca="1">IF(A109="","",_xludf.TEXTJOIN(" | ",TRUE,IF(Status_Operativo!J105="","Falta Status_Actual",""),IF(AND(Status_Operativo!J105="ENTREGADO",Status_Operativo!K105=""),"Falta Horario_Entrega_Real",""),IF(AND(Status_Operativo!J105&lt;&gt;"ENTREGADO",Status_Operativo!K105&lt;&gt;""),"Horario_Entrega_Real solo aplica con status ENTREGADO","")))</f>
        <v>#NAME?</v>
      </c>
      <c r="F109" s="1" t="str">
        <f ca="1">IF(A109="","",IF(AND(Status_Operativo!J105="EN PUERTO",Registro_Contenedores!J105-TODAY()&lt;=3,Registro_Contenedores!J105&gt;=TODAY()),"⚠️ ALERTA CAS",""))</f>
        <v/>
      </c>
      <c r="G109" s="1" t="e">
        <f t="shared" ca="1" si="3"/>
        <v>#NAME?</v>
      </c>
      <c r="H109" s="1" t="e">
        <f ca="1">IF(A109="","",_xludf.TEXTJOIN(" | ",TRUE,B109,C109,D109,E109,F109))</f>
        <v>#NAME?</v>
      </c>
    </row>
    <row r="110" spans="1:8" x14ac:dyDescent="0.35">
      <c r="A110" s="1">
        <f>Registro_Contenedores!A106</f>
        <v>0</v>
      </c>
      <c r="B110" s="1" t="e">
        <f ca="1">IF(A110="","",_xludf.TEXTJOIN(" | ",TRUE,IF(Registro_Contenedores!J106="","Falta Fecha_CAS",""),IF(Registro_Contenedores!K106="","Falta Deposito_Vacio","")))</f>
        <v>#NAME?</v>
      </c>
      <c r="C110" s="1" t="e">
        <f ca="1">IF(A110="","",_xludf.TEXTJOIN(" | ",TRUE,IF(Planif_Grupasa!G106="","Falta Plan_Llegada_Grupasa",""),IF(Planif_Grupasa!H106="","Falta Bodega",""),IF(Planif_Grupasa!I106="","Falta Hora_Descarga","")))</f>
        <v>#NAME?</v>
      </c>
      <c r="D110" s="1" t="e">
        <f ca="1">IF(A110="","",_xludf.TEXTJOIN(" | ",TRUE,IF(Planif_Galagans!H106="","Falta Plan_Llegada_Patio",""),IF(Planif_Galagans!I106="","Falta Plan_Devolucion_Vacio","")))</f>
        <v>#NAME?</v>
      </c>
      <c r="E110" s="1" t="e">
        <f ca="1">IF(A110="","",_xludf.TEXTJOIN(" | ",TRUE,IF(Status_Operativo!J106="","Falta Status_Actual",""),IF(AND(Status_Operativo!J106="ENTREGADO",Status_Operativo!K106=""),"Falta Horario_Entrega_Real",""),IF(AND(Status_Operativo!J106&lt;&gt;"ENTREGADO",Status_Operativo!K106&lt;&gt;""),"Horario_Entrega_Real solo aplica con status ENTREGADO","")))</f>
        <v>#NAME?</v>
      </c>
      <c r="F110" s="1" t="str">
        <f ca="1">IF(A110="","",IF(AND(Status_Operativo!J106="EN PUERTO",Registro_Contenedores!J106-TODAY()&lt;=3,Registro_Contenedores!J106&gt;=TODAY()),"⚠️ ALERTA CAS",""))</f>
        <v/>
      </c>
      <c r="G110" s="1" t="e">
        <f t="shared" ca="1" si="3"/>
        <v>#NAME?</v>
      </c>
      <c r="H110" s="1" t="e">
        <f ca="1">IF(A110="","",_xludf.TEXTJOIN(" | ",TRUE,B110,C110,D110,E110,F110))</f>
        <v>#NAME?</v>
      </c>
    </row>
    <row r="111" spans="1:8" x14ac:dyDescent="0.35">
      <c r="A111" s="1">
        <f>Registro_Contenedores!A107</f>
        <v>0</v>
      </c>
      <c r="B111" s="1" t="e">
        <f ca="1">IF(A111="","",_xludf.TEXTJOIN(" | ",TRUE,IF(Registro_Contenedores!J107="","Falta Fecha_CAS",""),IF(Registro_Contenedores!K107="","Falta Deposito_Vacio","")))</f>
        <v>#NAME?</v>
      </c>
      <c r="C111" s="1" t="e">
        <f ca="1">IF(A111="","",_xludf.TEXTJOIN(" | ",TRUE,IF(Planif_Grupasa!G107="","Falta Plan_Llegada_Grupasa",""),IF(Planif_Grupasa!H107="","Falta Bodega",""),IF(Planif_Grupasa!I107="","Falta Hora_Descarga","")))</f>
        <v>#NAME?</v>
      </c>
      <c r="D111" s="1" t="e">
        <f ca="1">IF(A111="","",_xludf.TEXTJOIN(" | ",TRUE,IF(Planif_Galagans!H107="","Falta Plan_Llegada_Patio",""),IF(Planif_Galagans!I107="","Falta Plan_Devolucion_Vacio","")))</f>
        <v>#NAME?</v>
      </c>
      <c r="E111" s="1" t="e">
        <f ca="1">IF(A111="","",_xludf.TEXTJOIN(" | ",TRUE,IF(Status_Operativo!J107="","Falta Status_Actual",""),IF(AND(Status_Operativo!J107="ENTREGADO",Status_Operativo!K107=""),"Falta Horario_Entrega_Real",""),IF(AND(Status_Operativo!J107&lt;&gt;"ENTREGADO",Status_Operativo!K107&lt;&gt;""),"Horario_Entrega_Real solo aplica con status ENTREGADO","")))</f>
        <v>#NAME?</v>
      </c>
      <c r="F111" s="1" t="str">
        <f ca="1">IF(A111="","",IF(AND(Status_Operativo!J107="EN PUERTO",Registro_Contenedores!J107-TODAY()&lt;=3,Registro_Contenedores!J107&gt;=TODAY()),"⚠️ ALERTA CAS",""))</f>
        <v/>
      </c>
      <c r="G111" s="1" t="e">
        <f t="shared" ca="1" si="3"/>
        <v>#NAME?</v>
      </c>
      <c r="H111" s="1" t="e">
        <f ca="1">IF(A111="","",_xludf.TEXTJOIN(" | ",TRUE,B111,C111,D111,E111,F111))</f>
        <v>#NAME?</v>
      </c>
    </row>
    <row r="112" spans="1:8" x14ac:dyDescent="0.35">
      <c r="A112" s="1">
        <f>Registro_Contenedores!A108</f>
        <v>0</v>
      </c>
      <c r="B112" s="1" t="e">
        <f ca="1">IF(A112="","",_xludf.TEXTJOIN(" | ",TRUE,IF(Registro_Contenedores!J108="","Falta Fecha_CAS",""),IF(Registro_Contenedores!K108="","Falta Deposito_Vacio","")))</f>
        <v>#NAME?</v>
      </c>
      <c r="C112" s="1" t="e">
        <f ca="1">IF(A112="","",_xludf.TEXTJOIN(" | ",TRUE,IF(Planif_Grupasa!G108="","Falta Plan_Llegada_Grupasa",""),IF(Planif_Grupasa!H108="","Falta Bodega",""),IF(Planif_Grupasa!I108="","Falta Hora_Descarga","")))</f>
        <v>#NAME?</v>
      </c>
      <c r="D112" s="1" t="e">
        <f ca="1">IF(A112="","",_xludf.TEXTJOIN(" | ",TRUE,IF(Planif_Galagans!H108="","Falta Plan_Llegada_Patio",""),IF(Planif_Galagans!I108="","Falta Plan_Devolucion_Vacio","")))</f>
        <v>#NAME?</v>
      </c>
      <c r="E112" s="1" t="e">
        <f ca="1">IF(A112="","",_xludf.TEXTJOIN(" | ",TRUE,IF(Status_Operativo!J108="","Falta Status_Actual",""),IF(AND(Status_Operativo!J108="ENTREGADO",Status_Operativo!K108=""),"Falta Horario_Entrega_Real",""),IF(AND(Status_Operativo!J108&lt;&gt;"ENTREGADO",Status_Operativo!K108&lt;&gt;""),"Horario_Entrega_Real solo aplica con status ENTREGADO","")))</f>
        <v>#NAME?</v>
      </c>
      <c r="F112" s="1" t="str">
        <f ca="1">IF(A112="","",IF(AND(Status_Operativo!J108="EN PUERTO",Registro_Contenedores!J108-TODAY()&lt;=3,Registro_Contenedores!J108&gt;=TODAY()),"⚠️ ALERTA CAS",""))</f>
        <v/>
      </c>
      <c r="G112" s="1" t="e">
        <f t="shared" ca="1" si="3"/>
        <v>#NAME?</v>
      </c>
      <c r="H112" s="1" t="e">
        <f ca="1">IF(A112="","",_xludf.TEXTJOIN(" | ",TRUE,B112,C112,D112,E112,F112))</f>
        <v>#NAME?</v>
      </c>
    </row>
    <row r="113" spans="1:8" x14ac:dyDescent="0.35">
      <c r="A113" s="1">
        <f>Registro_Contenedores!A109</f>
        <v>0</v>
      </c>
      <c r="B113" s="1" t="e">
        <f ca="1">IF(A113="","",_xludf.TEXTJOIN(" | ",TRUE,IF(Registro_Contenedores!J109="","Falta Fecha_CAS",""),IF(Registro_Contenedores!K109="","Falta Deposito_Vacio","")))</f>
        <v>#NAME?</v>
      </c>
      <c r="C113" s="1" t="e">
        <f ca="1">IF(A113="","",_xludf.TEXTJOIN(" | ",TRUE,IF(Planif_Grupasa!G109="","Falta Plan_Llegada_Grupasa",""),IF(Planif_Grupasa!H109="","Falta Bodega",""),IF(Planif_Grupasa!I109="","Falta Hora_Descarga","")))</f>
        <v>#NAME?</v>
      </c>
      <c r="D113" s="1" t="e">
        <f ca="1">IF(A113="","",_xludf.TEXTJOIN(" | ",TRUE,IF(Planif_Galagans!H109="","Falta Plan_Llegada_Patio",""),IF(Planif_Galagans!I109="","Falta Plan_Devolucion_Vacio","")))</f>
        <v>#NAME?</v>
      </c>
      <c r="E113" s="1" t="e">
        <f ca="1">IF(A113="","",_xludf.TEXTJOIN(" | ",TRUE,IF(Status_Operativo!J109="","Falta Status_Actual",""),IF(AND(Status_Operativo!J109="ENTREGADO",Status_Operativo!K109=""),"Falta Horario_Entrega_Real",""),IF(AND(Status_Operativo!J109&lt;&gt;"ENTREGADO",Status_Operativo!K109&lt;&gt;""),"Horario_Entrega_Real solo aplica con status ENTREGADO","")))</f>
        <v>#NAME?</v>
      </c>
      <c r="F113" s="1" t="str">
        <f ca="1">IF(A113="","",IF(AND(Status_Operativo!J109="EN PUERTO",Registro_Contenedores!J109-TODAY()&lt;=3,Registro_Contenedores!J109&gt;=TODAY()),"⚠️ ALERTA CAS",""))</f>
        <v/>
      </c>
      <c r="G113" s="1" t="e">
        <f t="shared" ca="1" si="3"/>
        <v>#NAME?</v>
      </c>
      <c r="H113" s="1" t="e">
        <f ca="1">IF(A113="","",_xludf.TEXTJOIN(" | ",TRUE,B113,C113,D113,E113,F113))</f>
        <v>#NAME?</v>
      </c>
    </row>
    <row r="114" spans="1:8" x14ac:dyDescent="0.35">
      <c r="A114" s="1">
        <f>Registro_Contenedores!A110</f>
        <v>0</v>
      </c>
      <c r="B114" s="1" t="e">
        <f ca="1">IF(A114="","",_xludf.TEXTJOIN(" | ",TRUE,IF(Registro_Contenedores!J110="","Falta Fecha_CAS",""),IF(Registro_Contenedores!K110="","Falta Deposito_Vacio","")))</f>
        <v>#NAME?</v>
      </c>
      <c r="C114" s="1" t="e">
        <f ca="1">IF(A114="","",_xludf.TEXTJOIN(" | ",TRUE,IF(Planif_Grupasa!G110="","Falta Plan_Llegada_Grupasa",""),IF(Planif_Grupasa!H110="","Falta Bodega",""),IF(Planif_Grupasa!I110="","Falta Hora_Descarga","")))</f>
        <v>#NAME?</v>
      </c>
      <c r="D114" s="1" t="e">
        <f ca="1">IF(A114="","",_xludf.TEXTJOIN(" | ",TRUE,IF(Planif_Galagans!H110="","Falta Plan_Llegada_Patio",""),IF(Planif_Galagans!I110="","Falta Plan_Devolucion_Vacio","")))</f>
        <v>#NAME?</v>
      </c>
      <c r="E114" s="1" t="e">
        <f ca="1">IF(A114="","",_xludf.TEXTJOIN(" | ",TRUE,IF(Status_Operativo!J110="","Falta Status_Actual",""),IF(AND(Status_Operativo!J110="ENTREGADO",Status_Operativo!K110=""),"Falta Horario_Entrega_Real",""),IF(AND(Status_Operativo!J110&lt;&gt;"ENTREGADO",Status_Operativo!K110&lt;&gt;""),"Horario_Entrega_Real solo aplica con status ENTREGADO","")))</f>
        <v>#NAME?</v>
      </c>
      <c r="F114" s="1" t="str">
        <f ca="1">IF(A114="","",IF(AND(Status_Operativo!J110="EN PUERTO",Registro_Contenedores!J110-TODAY()&lt;=3,Registro_Contenedores!J110&gt;=TODAY()),"⚠️ ALERTA CAS",""))</f>
        <v/>
      </c>
      <c r="G114" s="1" t="e">
        <f t="shared" ca="1" si="3"/>
        <v>#NAME?</v>
      </c>
      <c r="H114" s="1" t="e">
        <f ca="1">IF(A114="","",_xludf.TEXTJOIN(" | ",TRUE,B114,C114,D114,E114,F114))</f>
        <v>#NAME?</v>
      </c>
    </row>
    <row r="115" spans="1:8" x14ac:dyDescent="0.35">
      <c r="A115" s="1">
        <f>Registro_Contenedores!A111</f>
        <v>0</v>
      </c>
      <c r="B115" s="1" t="e">
        <f ca="1">IF(A115="","",_xludf.TEXTJOIN(" | ",TRUE,IF(Registro_Contenedores!J111="","Falta Fecha_CAS",""),IF(Registro_Contenedores!K111="","Falta Deposito_Vacio","")))</f>
        <v>#NAME?</v>
      </c>
      <c r="C115" s="1" t="e">
        <f ca="1">IF(A115="","",_xludf.TEXTJOIN(" | ",TRUE,IF(Planif_Grupasa!G111="","Falta Plan_Llegada_Grupasa",""),IF(Planif_Grupasa!H111="","Falta Bodega",""),IF(Planif_Grupasa!I111="","Falta Hora_Descarga","")))</f>
        <v>#NAME?</v>
      </c>
      <c r="D115" s="1" t="e">
        <f ca="1">IF(A115="","",_xludf.TEXTJOIN(" | ",TRUE,IF(Planif_Galagans!H111="","Falta Plan_Llegada_Patio",""),IF(Planif_Galagans!I111="","Falta Plan_Devolucion_Vacio","")))</f>
        <v>#NAME?</v>
      </c>
      <c r="E115" s="1" t="e">
        <f ca="1">IF(A115="","",_xludf.TEXTJOIN(" | ",TRUE,IF(Status_Operativo!J111="","Falta Status_Actual",""),IF(AND(Status_Operativo!J111="ENTREGADO",Status_Operativo!K111=""),"Falta Horario_Entrega_Real",""),IF(AND(Status_Operativo!J111&lt;&gt;"ENTREGADO",Status_Operativo!K111&lt;&gt;""),"Horario_Entrega_Real solo aplica con status ENTREGADO","")))</f>
        <v>#NAME?</v>
      </c>
      <c r="F115" s="1" t="str">
        <f ca="1">IF(A115="","",IF(AND(Status_Operativo!J111="EN PUERTO",Registro_Contenedores!J111-TODAY()&lt;=3,Registro_Contenedores!J111&gt;=TODAY()),"⚠️ ALERTA CAS",""))</f>
        <v/>
      </c>
      <c r="G115" s="1" t="e">
        <f t="shared" ca="1" si="3"/>
        <v>#NAME?</v>
      </c>
      <c r="H115" s="1" t="e">
        <f ca="1">IF(A115="","",_xludf.TEXTJOIN(" | ",TRUE,B115,C115,D115,E115,F115))</f>
        <v>#NAME?</v>
      </c>
    </row>
    <row r="116" spans="1:8" x14ac:dyDescent="0.35">
      <c r="A116" s="1">
        <f>Registro_Contenedores!A112</f>
        <v>0</v>
      </c>
      <c r="B116" s="1" t="e">
        <f ca="1">IF(A116="","",_xludf.TEXTJOIN(" | ",TRUE,IF(Registro_Contenedores!J112="","Falta Fecha_CAS",""),IF(Registro_Contenedores!K112="","Falta Deposito_Vacio","")))</f>
        <v>#NAME?</v>
      </c>
      <c r="C116" s="1" t="e">
        <f ca="1">IF(A116="","",_xludf.TEXTJOIN(" | ",TRUE,IF(Planif_Grupasa!G112="","Falta Plan_Llegada_Grupasa",""),IF(Planif_Grupasa!H112="","Falta Bodega",""),IF(Planif_Grupasa!I112="","Falta Hora_Descarga","")))</f>
        <v>#NAME?</v>
      </c>
      <c r="D116" s="1" t="e">
        <f ca="1">IF(A116="","",_xludf.TEXTJOIN(" | ",TRUE,IF(Planif_Galagans!H112="","Falta Plan_Llegada_Patio",""),IF(Planif_Galagans!I112="","Falta Plan_Devolucion_Vacio","")))</f>
        <v>#NAME?</v>
      </c>
      <c r="E116" s="1" t="e">
        <f ca="1">IF(A116="","",_xludf.TEXTJOIN(" | ",TRUE,IF(Status_Operativo!J112="","Falta Status_Actual",""),IF(AND(Status_Operativo!J112="ENTREGADO",Status_Operativo!K112=""),"Falta Horario_Entrega_Real",""),IF(AND(Status_Operativo!J112&lt;&gt;"ENTREGADO",Status_Operativo!K112&lt;&gt;""),"Horario_Entrega_Real solo aplica con status ENTREGADO","")))</f>
        <v>#NAME?</v>
      </c>
      <c r="F116" s="1" t="str">
        <f ca="1">IF(A116="","",IF(AND(Status_Operativo!J112="EN PUERTO",Registro_Contenedores!J112-TODAY()&lt;=3,Registro_Contenedores!J112&gt;=TODAY()),"⚠️ ALERTA CAS",""))</f>
        <v/>
      </c>
      <c r="G116" s="1" t="e">
        <f t="shared" ca="1" si="3"/>
        <v>#NAME?</v>
      </c>
      <c r="H116" s="1" t="e">
        <f ca="1">IF(A116="","",_xludf.TEXTJOIN(" | ",TRUE,B116,C116,D116,E116,F116))</f>
        <v>#NAME?</v>
      </c>
    </row>
    <row r="117" spans="1:8" x14ac:dyDescent="0.35">
      <c r="A117" s="1">
        <f>Registro_Contenedores!A113</f>
        <v>0</v>
      </c>
      <c r="B117" s="1" t="e">
        <f ca="1">IF(A117="","",_xludf.TEXTJOIN(" | ",TRUE,IF(Registro_Contenedores!J113="","Falta Fecha_CAS",""),IF(Registro_Contenedores!K113="","Falta Deposito_Vacio","")))</f>
        <v>#NAME?</v>
      </c>
      <c r="C117" s="1" t="e">
        <f ca="1">IF(A117="","",_xludf.TEXTJOIN(" | ",TRUE,IF(Planif_Grupasa!G113="","Falta Plan_Llegada_Grupasa",""),IF(Planif_Grupasa!H113="","Falta Bodega",""),IF(Planif_Grupasa!I113="","Falta Hora_Descarga","")))</f>
        <v>#NAME?</v>
      </c>
      <c r="D117" s="1" t="e">
        <f ca="1">IF(A117="","",_xludf.TEXTJOIN(" | ",TRUE,IF(Planif_Galagans!H113="","Falta Plan_Llegada_Patio",""),IF(Planif_Galagans!I113="","Falta Plan_Devolucion_Vacio","")))</f>
        <v>#NAME?</v>
      </c>
      <c r="E117" s="1" t="e">
        <f ca="1">IF(A117="","",_xludf.TEXTJOIN(" | ",TRUE,IF(Status_Operativo!J113="","Falta Status_Actual",""),IF(AND(Status_Operativo!J113="ENTREGADO",Status_Operativo!K113=""),"Falta Horario_Entrega_Real",""),IF(AND(Status_Operativo!J113&lt;&gt;"ENTREGADO",Status_Operativo!K113&lt;&gt;""),"Horario_Entrega_Real solo aplica con status ENTREGADO","")))</f>
        <v>#NAME?</v>
      </c>
      <c r="F117" s="1" t="str">
        <f ca="1">IF(A117="","",IF(AND(Status_Operativo!J113="EN PUERTO",Registro_Contenedores!J113-TODAY()&lt;=3,Registro_Contenedores!J113&gt;=TODAY()),"⚠️ ALERTA CAS",""))</f>
        <v/>
      </c>
      <c r="G117" s="1" t="e">
        <f t="shared" ca="1" si="3"/>
        <v>#NAME?</v>
      </c>
      <c r="H117" s="1" t="e">
        <f ca="1">IF(A117="","",_xludf.TEXTJOIN(" | ",TRUE,B117,C117,D117,E117,F117))</f>
        <v>#NAME?</v>
      </c>
    </row>
    <row r="118" spans="1:8" x14ac:dyDescent="0.35">
      <c r="A118" s="1">
        <f>Registro_Contenedores!A114</f>
        <v>0</v>
      </c>
      <c r="B118" s="1" t="e">
        <f ca="1">IF(A118="","",_xludf.TEXTJOIN(" | ",TRUE,IF(Registro_Contenedores!J114="","Falta Fecha_CAS",""),IF(Registro_Contenedores!K114="","Falta Deposito_Vacio","")))</f>
        <v>#NAME?</v>
      </c>
      <c r="C118" s="1" t="e">
        <f ca="1">IF(A118="","",_xludf.TEXTJOIN(" | ",TRUE,IF(Planif_Grupasa!G114="","Falta Plan_Llegada_Grupasa",""),IF(Planif_Grupasa!H114="","Falta Bodega",""),IF(Planif_Grupasa!I114="","Falta Hora_Descarga","")))</f>
        <v>#NAME?</v>
      </c>
      <c r="D118" s="1" t="e">
        <f ca="1">IF(A118="","",_xludf.TEXTJOIN(" | ",TRUE,IF(Planif_Galagans!H114="","Falta Plan_Llegada_Patio",""),IF(Planif_Galagans!I114="","Falta Plan_Devolucion_Vacio","")))</f>
        <v>#NAME?</v>
      </c>
      <c r="E118" s="1" t="e">
        <f ca="1">IF(A118="","",_xludf.TEXTJOIN(" | ",TRUE,IF(Status_Operativo!J114="","Falta Status_Actual",""),IF(AND(Status_Operativo!J114="ENTREGADO",Status_Operativo!K114=""),"Falta Horario_Entrega_Real",""),IF(AND(Status_Operativo!J114&lt;&gt;"ENTREGADO",Status_Operativo!K114&lt;&gt;""),"Horario_Entrega_Real solo aplica con status ENTREGADO","")))</f>
        <v>#NAME?</v>
      </c>
      <c r="F118" s="1" t="str">
        <f ca="1">IF(A118="","",IF(AND(Status_Operativo!J114="EN PUERTO",Registro_Contenedores!J114-TODAY()&lt;=3,Registro_Contenedores!J114&gt;=TODAY()),"⚠️ ALERTA CAS",""))</f>
        <v/>
      </c>
      <c r="G118" s="1" t="e">
        <f t="shared" ca="1" si="3"/>
        <v>#NAME?</v>
      </c>
      <c r="H118" s="1" t="e">
        <f ca="1">IF(A118="","",_xludf.TEXTJOIN(" | ",TRUE,B118,C118,D118,E118,F118))</f>
        <v>#NAME?</v>
      </c>
    </row>
    <row r="119" spans="1:8" x14ac:dyDescent="0.35">
      <c r="A119" s="1">
        <f>Registro_Contenedores!A115</f>
        <v>0</v>
      </c>
      <c r="B119" s="1" t="e">
        <f ca="1">IF(A119="","",_xludf.TEXTJOIN(" | ",TRUE,IF(Registro_Contenedores!J115="","Falta Fecha_CAS",""),IF(Registro_Contenedores!K115="","Falta Deposito_Vacio","")))</f>
        <v>#NAME?</v>
      </c>
      <c r="C119" s="1" t="e">
        <f ca="1">IF(A119="","",_xludf.TEXTJOIN(" | ",TRUE,IF(Planif_Grupasa!G115="","Falta Plan_Llegada_Grupasa",""),IF(Planif_Grupasa!H115="","Falta Bodega",""),IF(Planif_Grupasa!I115="","Falta Hora_Descarga","")))</f>
        <v>#NAME?</v>
      </c>
      <c r="D119" s="1" t="e">
        <f ca="1">IF(A119="","",_xludf.TEXTJOIN(" | ",TRUE,IF(Planif_Galagans!H115="","Falta Plan_Llegada_Patio",""),IF(Planif_Galagans!I115="","Falta Plan_Devolucion_Vacio","")))</f>
        <v>#NAME?</v>
      </c>
      <c r="E119" s="1" t="e">
        <f ca="1">IF(A119="","",_xludf.TEXTJOIN(" | ",TRUE,IF(Status_Operativo!J115="","Falta Status_Actual",""),IF(AND(Status_Operativo!J115="ENTREGADO",Status_Operativo!K115=""),"Falta Horario_Entrega_Real",""),IF(AND(Status_Operativo!J115&lt;&gt;"ENTREGADO",Status_Operativo!K115&lt;&gt;""),"Horario_Entrega_Real solo aplica con status ENTREGADO","")))</f>
        <v>#NAME?</v>
      </c>
      <c r="F119" s="1" t="str">
        <f ca="1">IF(A119="","",IF(AND(Status_Operativo!J115="EN PUERTO",Registro_Contenedores!J115-TODAY()&lt;=3,Registro_Contenedores!J115&gt;=TODAY()),"⚠️ ALERTA CAS",""))</f>
        <v/>
      </c>
      <c r="G119" s="1" t="e">
        <f t="shared" ca="1" si="3"/>
        <v>#NAME?</v>
      </c>
      <c r="H119" s="1" t="e">
        <f ca="1">IF(A119="","",_xludf.TEXTJOIN(" | ",TRUE,B119,C119,D119,E119,F119))</f>
        <v>#NAME?</v>
      </c>
    </row>
    <row r="120" spans="1:8" x14ac:dyDescent="0.35">
      <c r="A120" s="1">
        <f>Registro_Contenedores!A116</f>
        <v>0</v>
      </c>
      <c r="B120" s="1" t="e">
        <f ca="1">IF(A120="","",_xludf.TEXTJOIN(" | ",TRUE,IF(Registro_Contenedores!J116="","Falta Fecha_CAS",""),IF(Registro_Contenedores!K116="","Falta Deposito_Vacio","")))</f>
        <v>#NAME?</v>
      </c>
      <c r="C120" s="1" t="e">
        <f ca="1">IF(A120="","",_xludf.TEXTJOIN(" | ",TRUE,IF(Planif_Grupasa!G116="","Falta Plan_Llegada_Grupasa",""),IF(Planif_Grupasa!H116="","Falta Bodega",""),IF(Planif_Grupasa!I116="","Falta Hora_Descarga","")))</f>
        <v>#NAME?</v>
      </c>
      <c r="D120" s="1" t="e">
        <f ca="1">IF(A120="","",_xludf.TEXTJOIN(" | ",TRUE,IF(Planif_Galagans!H116="","Falta Plan_Llegada_Patio",""),IF(Planif_Galagans!I116="","Falta Plan_Devolucion_Vacio","")))</f>
        <v>#NAME?</v>
      </c>
      <c r="E120" s="1" t="e">
        <f ca="1">IF(A120="","",_xludf.TEXTJOIN(" | ",TRUE,IF(Status_Operativo!J116="","Falta Status_Actual",""),IF(AND(Status_Operativo!J116="ENTREGADO",Status_Operativo!K116=""),"Falta Horario_Entrega_Real",""),IF(AND(Status_Operativo!J116&lt;&gt;"ENTREGADO",Status_Operativo!K116&lt;&gt;""),"Horario_Entrega_Real solo aplica con status ENTREGADO","")))</f>
        <v>#NAME?</v>
      </c>
      <c r="F120" s="1" t="str">
        <f ca="1">IF(A120="","",IF(AND(Status_Operativo!J116="EN PUERTO",Registro_Contenedores!J116-TODAY()&lt;=3,Registro_Contenedores!J116&gt;=TODAY()),"⚠️ ALERTA CAS",""))</f>
        <v/>
      </c>
      <c r="G120" s="1" t="e">
        <f t="shared" ca="1" si="3"/>
        <v>#NAME?</v>
      </c>
      <c r="H120" s="1" t="e">
        <f ca="1">IF(A120="","",_xludf.TEXTJOIN(" | ",TRUE,B120,C120,D120,E120,F120))</f>
        <v>#NAME?</v>
      </c>
    </row>
    <row r="121" spans="1:8" x14ac:dyDescent="0.35">
      <c r="A121" s="1">
        <f>Registro_Contenedores!A117</f>
        <v>0</v>
      </c>
      <c r="B121" s="1" t="e">
        <f ca="1">IF(A121="","",_xludf.TEXTJOIN(" | ",TRUE,IF(Registro_Contenedores!J117="","Falta Fecha_CAS",""),IF(Registro_Contenedores!K117="","Falta Deposito_Vacio","")))</f>
        <v>#NAME?</v>
      </c>
      <c r="C121" s="1" t="e">
        <f ca="1">IF(A121="","",_xludf.TEXTJOIN(" | ",TRUE,IF(Planif_Grupasa!G117="","Falta Plan_Llegada_Grupasa",""),IF(Planif_Grupasa!H117="","Falta Bodega",""),IF(Planif_Grupasa!I117="","Falta Hora_Descarga","")))</f>
        <v>#NAME?</v>
      </c>
      <c r="D121" s="1" t="e">
        <f ca="1">IF(A121="","",_xludf.TEXTJOIN(" | ",TRUE,IF(Planif_Galagans!H117="","Falta Plan_Llegada_Patio",""),IF(Planif_Galagans!I117="","Falta Plan_Devolucion_Vacio","")))</f>
        <v>#NAME?</v>
      </c>
      <c r="E121" s="1" t="e">
        <f ca="1">IF(A121="","",_xludf.TEXTJOIN(" | ",TRUE,IF(Status_Operativo!J117="","Falta Status_Actual",""),IF(AND(Status_Operativo!J117="ENTREGADO",Status_Operativo!K117=""),"Falta Horario_Entrega_Real",""),IF(AND(Status_Operativo!J117&lt;&gt;"ENTREGADO",Status_Operativo!K117&lt;&gt;""),"Horario_Entrega_Real solo aplica con status ENTREGADO","")))</f>
        <v>#NAME?</v>
      </c>
      <c r="F121" s="1" t="str">
        <f ca="1">IF(A121="","",IF(AND(Status_Operativo!J117="EN PUERTO",Registro_Contenedores!J117-TODAY()&lt;=3,Registro_Contenedores!J117&gt;=TODAY()),"⚠️ ALERTA CAS",""))</f>
        <v/>
      </c>
      <c r="G121" s="1" t="e">
        <f t="shared" ca="1" si="3"/>
        <v>#NAME?</v>
      </c>
      <c r="H121" s="1" t="e">
        <f ca="1">IF(A121="","",_xludf.TEXTJOIN(" | ",TRUE,B121,C121,D121,E121,F121))</f>
        <v>#NAME?</v>
      </c>
    </row>
    <row r="122" spans="1:8" x14ac:dyDescent="0.35">
      <c r="A122" s="1">
        <f>Registro_Contenedores!A118</f>
        <v>0</v>
      </c>
      <c r="B122" s="1" t="e">
        <f ca="1">IF(A122="","",_xludf.TEXTJOIN(" | ",TRUE,IF(Registro_Contenedores!J118="","Falta Fecha_CAS",""),IF(Registro_Contenedores!K118="","Falta Deposito_Vacio","")))</f>
        <v>#NAME?</v>
      </c>
      <c r="C122" s="1" t="e">
        <f ca="1">IF(A122="","",_xludf.TEXTJOIN(" | ",TRUE,IF(Planif_Grupasa!G118="","Falta Plan_Llegada_Grupasa",""),IF(Planif_Grupasa!H118="","Falta Bodega",""),IF(Planif_Grupasa!I118="","Falta Hora_Descarga","")))</f>
        <v>#NAME?</v>
      </c>
      <c r="D122" s="1" t="e">
        <f ca="1">IF(A122="","",_xludf.TEXTJOIN(" | ",TRUE,IF(Planif_Galagans!H118="","Falta Plan_Llegada_Patio",""),IF(Planif_Galagans!I118="","Falta Plan_Devolucion_Vacio","")))</f>
        <v>#NAME?</v>
      </c>
      <c r="E122" s="1" t="e">
        <f ca="1">IF(A122="","",_xludf.TEXTJOIN(" | ",TRUE,IF(Status_Operativo!J118="","Falta Status_Actual",""),IF(AND(Status_Operativo!J118="ENTREGADO",Status_Operativo!K118=""),"Falta Horario_Entrega_Real",""),IF(AND(Status_Operativo!J118&lt;&gt;"ENTREGADO",Status_Operativo!K118&lt;&gt;""),"Horario_Entrega_Real solo aplica con status ENTREGADO","")))</f>
        <v>#NAME?</v>
      </c>
      <c r="F122" s="1" t="str">
        <f ca="1">IF(A122="","",IF(AND(Status_Operativo!J118="EN PUERTO",Registro_Contenedores!J118-TODAY()&lt;=3,Registro_Contenedores!J118&gt;=TODAY()),"⚠️ ALERTA CAS",""))</f>
        <v/>
      </c>
      <c r="G122" s="1" t="e">
        <f t="shared" ca="1" si="3"/>
        <v>#NAME?</v>
      </c>
      <c r="H122" s="1" t="e">
        <f ca="1">IF(A122="","",_xludf.TEXTJOIN(" | ",TRUE,B122,C122,D122,E122,F122))</f>
        <v>#NAME?</v>
      </c>
    </row>
    <row r="123" spans="1:8" x14ac:dyDescent="0.35">
      <c r="A123" s="1">
        <f>Registro_Contenedores!A119</f>
        <v>0</v>
      </c>
      <c r="B123" s="1" t="e">
        <f ca="1">IF(A123="","",_xludf.TEXTJOIN(" | ",TRUE,IF(Registro_Contenedores!J119="","Falta Fecha_CAS",""),IF(Registro_Contenedores!K119="","Falta Deposito_Vacio","")))</f>
        <v>#NAME?</v>
      </c>
      <c r="C123" s="1" t="e">
        <f ca="1">IF(A123="","",_xludf.TEXTJOIN(" | ",TRUE,IF(Planif_Grupasa!G119="","Falta Plan_Llegada_Grupasa",""),IF(Planif_Grupasa!H119="","Falta Bodega",""),IF(Planif_Grupasa!I119="","Falta Hora_Descarga","")))</f>
        <v>#NAME?</v>
      </c>
      <c r="D123" s="1" t="e">
        <f ca="1">IF(A123="","",_xludf.TEXTJOIN(" | ",TRUE,IF(Planif_Galagans!H119="","Falta Plan_Llegada_Patio",""),IF(Planif_Galagans!I119="","Falta Plan_Devolucion_Vacio","")))</f>
        <v>#NAME?</v>
      </c>
      <c r="E123" s="1" t="e">
        <f ca="1">IF(A123="","",_xludf.TEXTJOIN(" | ",TRUE,IF(Status_Operativo!J119="","Falta Status_Actual",""),IF(AND(Status_Operativo!J119="ENTREGADO",Status_Operativo!K119=""),"Falta Horario_Entrega_Real",""),IF(AND(Status_Operativo!J119&lt;&gt;"ENTREGADO",Status_Operativo!K119&lt;&gt;""),"Horario_Entrega_Real solo aplica con status ENTREGADO","")))</f>
        <v>#NAME?</v>
      </c>
      <c r="F123" s="1" t="str">
        <f ca="1">IF(A123="","",IF(AND(Status_Operativo!J119="EN PUERTO",Registro_Contenedores!J119-TODAY()&lt;=3,Registro_Contenedores!J119&gt;=TODAY()),"⚠️ ALERTA CAS",""))</f>
        <v/>
      </c>
      <c r="G123" s="1" t="e">
        <f t="shared" ca="1" si="3"/>
        <v>#NAME?</v>
      </c>
      <c r="H123" s="1" t="e">
        <f ca="1">IF(A123="","",_xludf.TEXTJOIN(" | ",TRUE,B123,C123,D123,E123,F123))</f>
        <v>#NAME?</v>
      </c>
    </row>
    <row r="124" spans="1:8" x14ac:dyDescent="0.35">
      <c r="A124" s="1">
        <f>Registro_Contenedores!A120</f>
        <v>0</v>
      </c>
      <c r="B124" s="1" t="e">
        <f ca="1">IF(A124="","",_xludf.TEXTJOIN(" | ",TRUE,IF(Registro_Contenedores!J120="","Falta Fecha_CAS",""),IF(Registro_Contenedores!K120="","Falta Deposito_Vacio","")))</f>
        <v>#NAME?</v>
      </c>
      <c r="C124" s="1" t="e">
        <f ca="1">IF(A124="","",_xludf.TEXTJOIN(" | ",TRUE,IF(Planif_Grupasa!G120="","Falta Plan_Llegada_Grupasa",""),IF(Planif_Grupasa!H120="","Falta Bodega",""),IF(Planif_Grupasa!I120="","Falta Hora_Descarga","")))</f>
        <v>#NAME?</v>
      </c>
      <c r="D124" s="1" t="e">
        <f ca="1">IF(A124="","",_xludf.TEXTJOIN(" | ",TRUE,IF(Planif_Galagans!H120="","Falta Plan_Llegada_Patio",""),IF(Planif_Galagans!I120="","Falta Plan_Devolucion_Vacio","")))</f>
        <v>#NAME?</v>
      </c>
      <c r="E124" s="1" t="e">
        <f ca="1">IF(A124="","",_xludf.TEXTJOIN(" | ",TRUE,IF(Status_Operativo!J120="","Falta Status_Actual",""),IF(AND(Status_Operativo!J120="ENTREGADO",Status_Operativo!K120=""),"Falta Horario_Entrega_Real",""),IF(AND(Status_Operativo!J120&lt;&gt;"ENTREGADO",Status_Operativo!K120&lt;&gt;""),"Horario_Entrega_Real solo aplica con status ENTREGADO","")))</f>
        <v>#NAME?</v>
      </c>
      <c r="F124" s="1" t="str">
        <f ca="1">IF(A124="","",IF(AND(Status_Operativo!J120="EN PUERTO",Registro_Contenedores!J120-TODAY()&lt;=3,Registro_Contenedores!J120&gt;=TODAY()),"⚠️ ALERTA CAS",""))</f>
        <v/>
      </c>
      <c r="G124" s="1" t="e">
        <f t="shared" ca="1" si="3"/>
        <v>#NAME?</v>
      </c>
      <c r="H124" s="1" t="e">
        <f ca="1">IF(A124="","",_xludf.TEXTJOIN(" | ",TRUE,B124,C124,D124,E124,F124))</f>
        <v>#NAME?</v>
      </c>
    </row>
    <row r="125" spans="1:8" x14ac:dyDescent="0.35">
      <c r="A125" s="1">
        <f>Registro_Contenedores!A121</f>
        <v>0</v>
      </c>
      <c r="B125" s="1" t="e">
        <f ca="1">IF(A125="","",_xludf.TEXTJOIN(" | ",TRUE,IF(Registro_Contenedores!J121="","Falta Fecha_CAS",""),IF(Registro_Contenedores!K121="","Falta Deposito_Vacio","")))</f>
        <v>#NAME?</v>
      </c>
      <c r="C125" s="1" t="e">
        <f ca="1">IF(A125="","",_xludf.TEXTJOIN(" | ",TRUE,IF(Planif_Grupasa!G121="","Falta Plan_Llegada_Grupasa",""),IF(Planif_Grupasa!H121="","Falta Bodega",""),IF(Planif_Grupasa!I121="","Falta Hora_Descarga","")))</f>
        <v>#NAME?</v>
      </c>
      <c r="D125" s="1" t="e">
        <f ca="1">IF(A125="","",_xludf.TEXTJOIN(" | ",TRUE,IF(Planif_Galagans!H121="","Falta Plan_Llegada_Patio",""),IF(Planif_Galagans!I121="","Falta Plan_Devolucion_Vacio","")))</f>
        <v>#NAME?</v>
      </c>
      <c r="E125" s="1" t="e">
        <f ca="1">IF(A125="","",_xludf.TEXTJOIN(" | ",TRUE,IF(Status_Operativo!J121="","Falta Status_Actual",""),IF(AND(Status_Operativo!J121="ENTREGADO",Status_Operativo!K121=""),"Falta Horario_Entrega_Real",""),IF(AND(Status_Operativo!J121&lt;&gt;"ENTREGADO",Status_Operativo!K121&lt;&gt;""),"Horario_Entrega_Real solo aplica con status ENTREGADO","")))</f>
        <v>#NAME?</v>
      </c>
      <c r="F125" s="1" t="str">
        <f ca="1">IF(A125="","",IF(AND(Status_Operativo!J121="EN PUERTO",Registro_Contenedores!J121-TODAY()&lt;=3,Registro_Contenedores!J121&gt;=TODAY()),"⚠️ ALERTA CAS",""))</f>
        <v/>
      </c>
      <c r="G125" s="1" t="e">
        <f t="shared" ca="1" si="3"/>
        <v>#NAME?</v>
      </c>
      <c r="H125" s="1" t="e">
        <f ca="1">IF(A125="","",_xludf.TEXTJOIN(" | ",TRUE,B125,C125,D125,E125,F125))</f>
        <v>#NAME?</v>
      </c>
    </row>
    <row r="126" spans="1:8" x14ac:dyDescent="0.35">
      <c r="A126" s="1">
        <f>Registro_Contenedores!A122</f>
        <v>0</v>
      </c>
      <c r="B126" s="1" t="e">
        <f ca="1">IF(A126="","",_xludf.TEXTJOIN(" | ",TRUE,IF(Registro_Contenedores!J122="","Falta Fecha_CAS",""),IF(Registro_Contenedores!K122="","Falta Deposito_Vacio","")))</f>
        <v>#NAME?</v>
      </c>
      <c r="C126" s="1" t="e">
        <f ca="1">IF(A126="","",_xludf.TEXTJOIN(" | ",TRUE,IF(Planif_Grupasa!G122="","Falta Plan_Llegada_Grupasa",""),IF(Planif_Grupasa!H122="","Falta Bodega",""),IF(Planif_Grupasa!I122="","Falta Hora_Descarga","")))</f>
        <v>#NAME?</v>
      </c>
      <c r="D126" s="1" t="e">
        <f ca="1">IF(A126="","",_xludf.TEXTJOIN(" | ",TRUE,IF(Planif_Galagans!H122="","Falta Plan_Llegada_Patio",""),IF(Planif_Galagans!I122="","Falta Plan_Devolucion_Vacio","")))</f>
        <v>#NAME?</v>
      </c>
      <c r="E126" s="1" t="e">
        <f ca="1">IF(A126="","",_xludf.TEXTJOIN(" | ",TRUE,IF(Status_Operativo!J122="","Falta Status_Actual",""),IF(AND(Status_Operativo!J122="ENTREGADO",Status_Operativo!K122=""),"Falta Horario_Entrega_Real",""),IF(AND(Status_Operativo!J122&lt;&gt;"ENTREGADO",Status_Operativo!K122&lt;&gt;""),"Horario_Entrega_Real solo aplica con status ENTREGADO","")))</f>
        <v>#NAME?</v>
      </c>
      <c r="F126" s="1" t="str">
        <f ca="1">IF(A126="","",IF(AND(Status_Operativo!J122="EN PUERTO",Registro_Contenedores!J122-TODAY()&lt;=3,Registro_Contenedores!J122&gt;=TODAY()),"⚠️ ALERTA CAS",""))</f>
        <v/>
      </c>
      <c r="G126" s="1" t="e">
        <f t="shared" ca="1" si="3"/>
        <v>#NAME?</v>
      </c>
      <c r="H126" s="1" t="e">
        <f ca="1">IF(A126="","",_xludf.TEXTJOIN(" | ",TRUE,B126,C126,D126,E126,F126))</f>
        <v>#NAME?</v>
      </c>
    </row>
    <row r="127" spans="1:8" x14ac:dyDescent="0.35">
      <c r="A127" s="1">
        <f>Registro_Contenedores!A123</f>
        <v>0</v>
      </c>
      <c r="B127" s="1" t="e">
        <f ca="1">IF(A127="","",_xludf.TEXTJOIN(" | ",TRUE,IF(Registro_Contenedores!J123="","Falta Fecha_CAS",""),IF(Registro_Contenedores!K123="","Falta Deposito_Vacio","")))</f>
        <v>#NAME?</v>
      </c>
      <c r="C127" s="1" t="e">
        <f ca="1">IF(A127="","",_xludf.TEXTJOIN(" | ",TRUE,IF(Planif_Grupasa!G123="","Falta Plan_Llegada_Grupasa",""),IF(Planif_Grupasa!H123="","Falta Bodega",""),IF(Planif_Grupasa!I123="","Falta Hora_Descarga","")))</f>
        <v>#NAME?</v>
      </c>
      <c r="D127" s="1" t="e">
        <f ca="1">IF(A127="","",_xludf.TEXTJOIN(" | ",TRUE,IF(Planif_Galagans!H123="","Falta Plan_Llegada_Patio",""),IF(Planif_Galagans!I123="","Falta Plan_Devolucion_Vacio","")))</f>
        <v>#NAME?</v>
      </c>
      <c r="E127" s="1" t="e">
        <f ca="1">IF(A127="","",_xludf.TEXTJOIN(" | ",TRUE,IF(Status_Operativo!J123="","Falta Status_Actual",""),IF(AND(Status_Operativo!J123="ENTREGADO",Status_Operativo!K123=""),"Falta Horario_Entrega_Real",""),IF(AND(Status_Operativo!J123&lt;&gt;"ENTREGADO",Status_Operativo!K123&lt;&gt;""),"Horario_Entrega_Real solo aplica con status ENTREGADO","")))</f>
        <v>#NAME?</v>
      </c>
      <c r="F127" s="1" t="str">
        <f ca="1">IF(A127="","",IF(AND(Status_Operativo!J123="EN PUERTO",Registro_Contenedores!J123-TODAY()&lt;=3,Registro_Contenedores!J123&gt;=TODAY()),"⚠️ ALERTA CAS",""))</f>
        <v/>
      </c>
      <c r="G127" s="1" t="e">
        <f t="shared" ca="1" si="3"/>
        <v>#NAME?</v>
      </c>
      <c r="H127" s="1" t="e">
        <f ca="1">IF(A127="","",_xludf.TEXTJOIN(" | ",TRUE,B127,C127,D127,E127,F127))</f>
        <v>#NAME?</v>
      </c>
    </row>
    <row r="128" spans="1:8" x14ac:dyDescent="0.35">
      <c r="A128" s="1">
        <f>Registro_Contenedores!A124</f>
        <v>0</v>
      </c>
      <c r="B128" s="1" t="e">
        <f ca="1">IF(A128="","",_xludf.TEXTJOIN(" | ",TRUE,IF(Registro_Contenedores!J124="","Falta Fecha_CAS",""),IF(Registro_Contenedores!K124="","Falta Deposito_Vacio","")))</f>
        <v>#NAME?</v>
      </c>
      <c r="C128" s="1" t="e">
        <f ca="1">IF(A128="","",_xludf.TEXTJOIN(" | ",TRUE,IF(Planif_Grupasa!G124="","Falta Plan_Llegada_Grupasa",""),IF(Planif_Grupasa!H124="","Falta Bodega",""),IF(Planif_Grupasa!I124="","Falta Hora_Descarga","")))</f>
        <v>#NAME?</v>
      </c>
      <c r="D128" s="1" t="e">
        <f ca="1">IF(A128="","",_xludf.TEXTJOIN(" | ",TRUE,IF(Planif_Galagans!H124="","Falta Plan_Llegada_Patio",""),IF(Planif_Galagans!I124="","Falta Plan_Devolucion_Vacio","")))</f>
        <v>#NAME?</v>
      </c>
      <c r="E128" s="1" t="e">
        <f ca="1">IF(A128="","",_xludf.TEXTJOIN(" | ",TRUE,IF(Status_Operativo!J124="","Falta Status_Actual",""),IF(AND(Status_Operativo!J124="ENTREGADO",Status_Operativo!K124=""),"Falta Horario_Entrega_Real",""),IF(AND(Status_Operativo!J124&lt;&gt;"ENTREGADO",Status_Operativo!K124&lt;&gt;""),"Horario_Entrega_Real solo aplica con status ENTREGADO","")))</f>
        <v>#NAME?</v>
      </c>
      <c r="F128" s="1" t="str">
        <f ca="1">IF(A128="","",IF(AND(Status_Operativo!J124="EN PUERTO",Registro_Contenedores!J124-TODAY()&lt;=3,Registro_Contenedores!J124&gt;=TODAY()),"⚠️ ALERTA CAS",""))</f>
        <v/>
      </c>
      <c r="G128" s="1" t="e">
        <f t="shared" ca="1" si="3"/>
        <v>#NAME?</v>
      </c>
      <c r="H128" s="1" t="e">
        <f ca="1">IF(A128="","",_xludf.TEXTJOIN(" | ",TRUE,B128,C128,D128,E128,F128))</f>
        <v>#NAME?</v>
      </c>
    </row>
    <row r="129" spans="1:8" x14ac:dyDescent="0.35">
      <c r="A129" s="1">
        <f>Registro_Contenedores!A125</f>
        <v>0</v>
      </c>
      <c r="B129" s="1" t="e">
        <f ca="1">IF(A129="","",_xludf.TEXTJOIN(" | ",TRUE,IF(Registro_Contenedores!J125="","Falta Fecha_CAS",""),IF(Registro_Contenedores!K125="","Falta Deposito_Vacio","")))</f>
        <v>#NAME?</v>
      </c>
      <c r="C129" s="1" t="e">
        <f ca="1">IF(A129="","",_xludf.TEXTJOIN(" | ",TRUE,IF(Planif_Grupasa!G125="","Falta Plan_Llegada_Grupasa",""),IF(Planif_Grupasa!H125="","Falta Bodega",""),IF(Planif_Grupasa!I125="","Falta Hora_Descarga","")))</f>
        <v>#NAME?</v>
      </c>
      <c r="D129" s="1" t="e">
        <f ca="1">IF(A129="","",_xludf.TEXTJOIN(" | ",TRUE,IF(Planif_Galagans!H125="","Falta Plan_Llegada_Patio",""),IF(Planif_Galagans!I125="","Falta Plan_Devolucion_Vacio","")))</f>
        <v>#NAME?</v>
      </c>
      <c r="E129" s="1" t="e">
        <f ca="1">IF(A129="","",_xludf.TEXTJOIN(" | ",TRUE,IF(Status_Operativo!J125="","Falta Status_Actual",""),IF(AND(Status_Operativo!J125="ENTREGADO",Status_Operativo!K125=""),"Falta Horario_Entrega_Real",""),IF(AND(Status_Operativo!J125&lt;&gt;"ENTREGADO",Status_Operativo!K125&lt;&gt;""),"Horario_Entrega_Real solo aplica con status ENTREGADO","")))</f>
        <v>#NAME?</v>
      </c>
      <c r="F129" s="1" t="str">
        <f ca="1">IF(A129="","",IF(AND(Status_Operativo!J125="EN PUERTO",Registro_Contenedores!J125-TODAY()&lt;=3,Registro_Contenedores!J125&gt;=TODAY()),"⚠️ ALERTA CAS",""))</f>
        <v/>
      </c>
      <c r="G129" s="1" t="e">
        <f t="shared" ca="1" si="3"/>
        <v>#NAME?</v>
      </c>
      <c r="H129" s="1" t="e">
        <f ca="1">IF(A129="","",_xludf.TEXTJOIN(" | ",TRUE,B129,C129,D129,E129,F129))</f>
        <v>#NAME?</v>
      </c>
    </row>
    <row r="130" spans="1:8" x14ac:dyDescent="0.35">
      <c r="A130" s="1">
        <f>Registro_Contenedores!A126</f>
        <v>0</v>
      </c>
      <c r="B130" s="1" t="e">
        <f ca="1">IF(A130="","",_xludf.TEXTJOIN(" | ",TRUE,IF(Registro_Contenedores!J126="","Falta Fecha_CAS",""),IF(Registro_Contenedores!K126="","Falta Deposito_Vacio","")))</f>
        <v>#NAME?</v>
      </c>
      <c r="C130" s="1" t="e">
        <f ca="1">IF(A130="","",_xludf.TEXTJOIN(" | ",TRUE,IF(Planif_Grupasa!G126="","Falta Plan_Llegada_Grupasa",""),IF(Planif_Grupasa!H126="","Falta Bodega",""),IF(Planif_Grupasa!I126="","Falta Hora_Descarga","")))</f>
        <v>#NAME?</v>
      </c>
      <c r="D130" s="1" t="e">
        <f ca="1">IF(A130="","",_xludf.TEXTJOIN(" | ",TRUE,IF(Planif_Galagans!H126="","Falta Plan_Llegada_Patio",""),IF(Planif_Galagans!I126="","Falta Plan_Devolucion_Vacio","")))</f>
        <v>#NAME?</v>
      </c>
      <c r="E130" s="1" t="e">
        <f ca="1">IF(A130="","",_xludf.TEXTJOIN(" | ",TRUE,IF(Status_Operativo!J126="","Falta Status_Actual",""),IF(AND(Status_Operativo!J126="ENTREGADO",Status_Operativo!K126=""),"Falta Horario_Entrega_Real",""),IF(AND(Status_Operativo!J126&lt;&gt;"ENTREGADO",Status_Operativo!K126&lt;&gt;""),"Horario_Entrega_Real solo aplica con status ENTREGADO","")))</f>
        <v>#NAME?</v>
      </c>
      <c r="F130" s="1" t="str">
        <f ca="1">IF(A130="","",IF(AND(Status_Operativo!J126="EN PUERTO",Registro_Contenedores!J126-TODAY()&lt;=3,Registro_Contenedores!J126&gt;=TODAY()),"⚠️ ALERTA CAS",""))</f>
        <v/>
      </c>
      <c r="G130" s="1" t="e">
        <f t="shared" ca="1" si="3"/>
        <v>#NAME?</v>
      </c>
      <c r="H130" s="1" t="e">
        <f ca="1">IF(A130="","",_xludf.TEXTJOIN(" | ",TRUE,B130,C130,D130,E130,F130))</f>
        <v>#NAME?</v>
      </c>
    </row>
    <row r="131" spans="1:8" x14ac:dyDescent="0.35">
      <c r="A131" s="1">
        <f>Registro_Contenedores!A127</f>
        <v>0</v>
      </c>
      <c r="B131" s="1" t="e">
        <f ca="1">IF(A131="","",_xludf.TEXTJOIN(" | ",TRUE,IF(Registro_Contenedores!J127="","Falta Fecha_CAS",""),IF(Registro_Contenedores!K127="","Falta Deposito_Vacio","")))</f>
        <v>#NAME?</v>
      </c>
      <c r="C131" s="1" t="e">
        <f ca="1">IF(A131="","",_xludf.TEXTJOIN(" | ",TRUE,IF(Planif_Grupasa!G127="","Falta Plan_Llegada_Grupasa",""),IF(Planif_Grupasa!H127="","Falta Bodega",""),IF(Planif_Grupasa!I127="","Falta Hora_Descarga","")))</f>
        <v>#NAME?</v>
      </c>
      <c r="D131" s="1" t="e">
        <f ca="1">IF(A131="","",_xludf.TEXTJOIN(" | ",TRUE,IF(Planif_Galagans!H127="","Falta Plan_Llegada_Patio",""),IF(Planif_Galagans!I127="","Falta Plan_Devolucion_Vacio","")))</f>
        <v>#NAME?</v>
      </c>
      <c r="E131" s="1" t="e">
        <f ca="1">IF(A131="","",_xludf.TEXTJOIN(" | ",TRUE,IF(Status_Operativo!J127="","Falta Status_Actual",""),IF(AND(Status_Operativo!J127="ENTREGADO",Status_Operativo!K127=""),"Falta Horario_Entrega_Real",""),IF(AND(Status_Operativo!J127&lt;&gt;"ENTREGADO",Status_Operativo!K127&lt;&gt;""),"Horario_Entrega_Real solo aplica con status ENTREGADO","")))</f>
        <v>#NAME?</v>
      </c>
      <c r="F131" s="1" t="str">
        <f ca="1">IF(A131="","",IF(AND(Status_Operativo!J127="EN PUERTO",Registro_Contenedores!J127-TODAY()&lt;=3,Registro_Contenedores!J127&gt;=TODAY()),"⚠️ ALERTA CAS",""))</f>
        <v/>
      </c>
      <c r="G131" s="1" t="e">
        <f t="shared" ca="1" si="3"/>
        <v>#NAME?</v>
      </c>
      <c r="H131" s="1" t="e">
        <f ca="1">IF(A131="","",_xludf.TEXTJOIN(" | ",TRUE,B131,C131,D131,E131,F131))</f>
        <v>#NAME?</v>
      </c>
    </row>
    <row r="132" spans="1:8" x14ac:dyDescent="0.35">
      <c r="A132" s="1">
        <f>Registro_Contenedores!A128</f>
        <v>0</v>
      </c>
      <c r="B132" s="1" t="e">
        <f ca="1">IF(A132="","",_xludf.TEXTJOIN(" | ",TRUE,IF(Registro_Contenedores!J128="","Falta Fecha_CAS",""),IF(Registro_Contenedores!K128="","Falta Deposito_Vacio","")))</f>
        <v>#NAME?</v>
      </c>
      <c r="C132" s="1" t="e">
        <f ca="1">IF(A132="","",_xludf.TEXTJOIN(" | ",TRUE,IF(Planif_Grupasa!G128="","Falta Plan_Llegada_Grupasa",""),IF(Planif_Grupasa!H128="","Falta Bodega",""),IF(Planif_Grupasa!I128="","Falta Hora_Descarga","")))</f>
        <v>#NAME?</v>
      </c>
      <c r="D132" s="1" t="e">
        <f ca="1">IF(A132="","",_xludf.TEXTJOIN(" | ",TRUE,IF(Planif_Galagans!H128="","Falta Plan_Llegada_Patio",""),IF(Planif_Galagans!I128="","Falta Plan_Devolucion_Vacio","")))</f>
        <v>#NAME?</v>
      </c>
      <c r="E132" s="1" t="e">
        <f ca="1">IF(A132="","",_xludf.TEXTJOIN(" | ",TRUE,IF(Status_Operativo!J128="","Falta Status_Actual",""),IF(AND(Status_Operativo!J128="ENTREGADO",Status_Operativo!K128=""),"Falta Horario_Entrega_Real",""),IF(AND(Status_Operativo!J128&lt;&gt;"ENTREGADO",Status_Operativo!K128&lt;&gt;""),"Horario_Entrega_Real solo aplica con status ENTREGADO","")))</f>
        <v>#NAME?</v>
      </c>
      <c r="F132" s="1" t="str">
        <f ca="1">IF(A132="","",IF(AND(Status_Operativo!J128="EN PUERTO",Registro_Contenedores!J128-TODAY()&lt;=3,Registro_Contenedores!J128&gt;=TODAY()),"⚠️ ALERTA CAS",""))</f>
        <v/>
      </c>
      <c r="G132" s="1" t="e">
        <f t="shared" ca="1" si="3"/>
        <v>#NAME?</v>
      </c>
      <c r="H132" s="1" t="e">
        <f ca="1">IF(A132="","",_xludf.TEXTJOIN(" | ",TRUE,B132,C132,D132,E132,F132))</f>
        <v>#NAME?</v>
      </c>
    </row>
    <row r="133" spans="1:8" x14ac:dyDescent="0.35">
      <c r="A133" s="1">
        <f>Registro_Contenedores!A129</f>
        <v>0</v>
      </c>
      <c r="B133" s="1" t="e">
        <f ca="1">IF(A133="","",_xludf.TEXTJOIN(" | ",TRUE,IF(Registro_Contenedores!J129="","Falta Fecha_CAS",""),IF(Registro_Contenedores!K129="","Falta Deposito_Vacio","")))</f>
        <v>#NAME?</v>
      </c>
      <c r="C133" s="1" t="e">
        <f ca="1">IF(A133="","",_xludf.TEXTJOIN(" | ",TRUE,IF(Planif_Grupasa!G129="","Falta Plan_Llegada_Grupasa",""),IF(Planif_Grupasa!H129="","Falta Bodega",""),IF(Planif_Grupasa!I129="","Falta Hora_Descarga","")))</f>
        <v>#NAME?</v>
      </c>
      <c r="D133" s="1" t="e">
        <f ca="1">IF(A133="","",_xludf.TEXTJOIN(" | ",TRUE,IF(Planif_Galagans!H129="","Falta Plan_Llegada_Patio",""),IF(Planif_Galagans!I129="","Falta Plan_Devolucion_Vacio","")))</f>
        <v>#NAME?</v>
      </c>
      <c r="E133" s="1" t="e">
        <f ca="1">IF(A133="","",_xludf.TEXTJOIN(" | ",TRUE,IF(Status_Operativo!J129="","Falta Status_Actual",""),IF(AND(Status_Operativo!J129="ENTREGADO",Status_Operativo!K129=""),"Falta Horario_Entrega_Real",""),IF(AND(Status_Operativo!J129&lt;&gt;"ENTREGADO",Status_Operativo!K129&lt;&gt;""),"Horario_Entrega_Real solo aplica con status ENTREGADO","")))</f>
        <v>#NAME?</v>
      </c>
      <c r="F133" s="1" t="str">
        <f ca="1">IF(A133="","",IF(AND(Status_Operativo!J129="EN PUERTO",Registro_Contenedores!J129-TODAY()&lt;=3,Registro_Contenedores!J129&gt;=TODAY()),"⚠️ ALERTA CAS",""))</f>
        <v/>
      </c>
      <c r="G133" s="1" t="e">
        <f t="shared" ca="1" si="3"/>
        <v>#NAME?</v>
      </c>
      <c r="H133" s="1" t="e">
        <f ca="1">IF(A133="","",_xludf.TEXTJOIN(" | ",TRUE,B133,C133,D133,E133,F133))</f>
        <v>#NAME?</v>
      </c>
    </row>
    <row r="134" spans="1:8" x14ac:dyDescent="0.35">
      <c r="A134" s="1">
        <f>Registro_Contenedores!A130</f>
        <v>0</v>
      </c>
      <c r="B134" s="1" t="e">
        <f ca="1">IF(A134="","",_xludf.TEXTJOIN(" | ",TRUE,IF(Registro_Contenedores!J130="","Falta Fecha_CAS",""),IF(Registro_Contenedores!K130="","Falta Deposito_Vacio","")))</f>
        <v>#NAME?</v>
      </c>
      <c r="C134" s="1" t="e">
        <f ca="1">IF(A134="","",_xludf.TEXTJOIN(" | ",TRUE,IF(Planif_Grupasa!G130="","Falta Plan_Llegada_Grupasa",""),IF(Planif_Grupasa!H130="","Falta Bodega",""),IF(Planif_Grupasa!I130="","Falta Hora_Descarga","")))</f>
        <v>#NAME?</v>
      </c>
      <c r="D134" s="1" t="e">
        <f ca="1">IF(A134="","",_xludf.TEXTJOIN(" | ",TRUE,IF(Planif_Galagans!H130="","Falta Plan_Llegada_Patio",""),IF(Planif_Galagans!I130="","Falta Plan_Devolucion_Vacio","")))</f>
        <v>#NAME?</v>
      </c>
      <c r="E134" s="1" t="e">
        <f ca="1">IF(A134="","",_xludf.TEXTJOIN(" | ",TRUE,IF(Status_Operativo!J130="","Falta Status_Actual",""),IF(AND(Status_Operativo!J130="ENTREGADO",Status_Operativo!K130=""),"Falta Horario_Entrega_Real",""),IF(AND(Status_Operativo!J130&lt;&gt;"ENTREGADO",Status_Operativo!K130&lt;&gt;""),"Horario_Entrega_Real solo aplica con status ENTREGADO","")))</f>
        <v>#NAME?</v>
      </c>
      <c r="F134" s="1" t="str">
        <f ca="1">IF(A134="","",IF(AND(Status_Operativo!J130="EN PUERTO",Registro_Contenedores!J130-TODAY()&lt;=3,Registro_Contenedores!J130&gt;=TODAY()),"⚠️ ALERTA CAS",""))</f>
        <v/>
      </c>
      <c r="G134" s="1" t="e">
        <f t="shared" ca="1" si="3"/>
        <v>#NAME?</v>
      </c>
      <c r="H134" s="1" t="e">
        <f ca="1">IF(A134="","",_xludf.TEXTJOIN(" | ",TRUE,B134,C134,D134,E134,F134))</f>
        <v>#NAME?</v>
      </c>
    </row>
    <row r="135" spans="1:8" x14ac:dyDescent="0.35">
      <c r="A135" s="1">
        <f>Registro_Contenedores!A131</f>
        <v>0</v>
      </c>
      <c r="B135" s="1" t="e">
        <f ca="1">IF(A135="","",_xludf.TEXTJOIN(" | ",TRUE,IF(Registro_Contenedores!J131="","Falta Fecha_CAS",""),IF(Registro_Contenedores!K131="","Falta Deposito_Vacio","")))</f>
        <v>#NAME?</v>
      </c>
      <c r="C135" s="1" t="e">
        <f ca="1">IF(A135="","",_xludf.TEXTJOIN(" | ",TRUE,IF(Planif_Grupasa!G131="","Falta Plan_Llegada_Grupasa",""),IF(Planif_Grupasa!H131="","Falta Bodega",""),IF(Planif_Grupasa!I131="","Falta Hora_Descarga","")))</f>
        <v>#NAME?</v>
      </c>
      <c r="D135" s="1" t="e">
        <f ca="1">IF(A135="","",_xludf.TEXTJOIN(" | ",TRUE,IF(Planif_Galagans!H131="","Falta Plan_Llegada_Patio",""),IF(Planif_Galagans!I131="","Falta Plan_Devolucion_Vacio","")))</f>
        <v>#NAME?</v>
      </c>
      <c r="E135" s="1" t="e">
        <f ca="1">IF(A135="","",_xludf.TEXTJOIN(" | ",TRUE,IF(Status_Operativo!J131="","Falta Status_Actual",""),IF(AND(Status_Operativo!J131="ENTREGADO",Status_Operativo!K131=""),"Falta Horario_Entrega_Real",""),IF(AND(Status_Operativo!J131&lt;&gt;"ENTREGADO",Status_Operativo!K131&lt;&gt;""),"Horario_Entrega_Real solo aplica con status ENTREGADO","")))</f>
        <v>#NAME?</v>
      </c>
      <c r="F135" s="1" t="str">
        <f ca="1">IF(A135="","",IF(AND(Status_Operativo!J131="EN PUERTO",Registro_Contenedores!J131-TODAY()&lt;=3,Registro_Contenedores!J131&gt;=TODAY()),"⚠️ ALERTA CAS",""))</f>
        <v/>
      </c>
      <c r="G135" s="1" t="e">
        <f t="shared" ca="1" si="3"/>
        <v>#NAME?</v>
      </c>
      <c r="H135" s="1" t="e">
        <f ca="1">IF(A135="","",_xludf.TEXTJOIN(" | ",TRUE,B135,C135,D135,E135,F135))</f>
        <v>#NAME?</v>
      </c>
    </row>
    <row r="136" spans="1:8" x14ac:dyDescent="0.35">
      <c r="A136" s="1">
        <f>Registro_Contenedores!A132</f>
        <v>0</v>
      </c>
      <c r="B136" s="1" t="e">
        <f ca="1">IF(A136="","",_xludf.TEXTJOIN(" | ",TRUE,IF(Registro_Contenedores!J132="","Falta Fecha_CAS",""),IF(Registro_Contenedores!K132="","Falta Deposito_Vacio","")))</f>
        <v>#NAME?</v>
      </c>
      <c r="C136" s="1" t="e">
        <f ca="1">IF(A136="","",_xludf.TEXTJOIN(" | ",TRUE,IF(Planif_Grupasa!G132="","Falta Plan_Llegada_Grupasa",""),IF(Planif_Grupasa!H132="","Falta Bodega",""),IF(Planif_Grupasa!I132="","Falta Hora_Descarga","")))</f>
        <v>#NAME?</v>
      </c>
      <c r="D136" s="1" t="e">
        <f ca="1">IF(A136="","",_xludf.TEXTJOIN(" | ",TRUE,IF(Planif_Galagans!H132="","Falta Plan_Llegada_Patio",""),IF(Planif_Galagans!I132="","Falta Plan_Devolucion_Vacio","")))</f>
        <v>#NAME?</v>
      </c>
      <c r="E136" s="1" t="e">
        <f ca="1">IF(A136="","",_xludf.TEXTJOIN(" | ",TRUE,IF(Status_Operativo!J132="","Falta Status_Actual",""),IF(AND(Status_Operativo!J132="ENTREGADO",Status_Operativo!K132=""),"Falta Horario_Entrega_Real",""),IF(AND(Status_Operativo!J132&lt;&gt;"ENTREGADO",Status_Operativo!K132&lt;&gt;""),"Horario_Entrega_Real solo aplica con status ENTREGADO","")))</f>
        <v>#NAME?</v>
      </c>
      <c r="F136" s="1" t="str">
        <f ca="1">IF(A136="","",IF(AND(Status_Operativo!J132="EN PUERTO",Registro_Contenedores!J132-TODAY()&lt;=3,Registro_Contenedores!J132&gt;=TODAY()),"⚠️ ALERTA CAS",""))</f>
        <v/>
      </c>
      <c r="G136" s="1" t="e">
        <f t="shared" ref="G136:G167" ca="1" si="4">IF(A136="","",IF(LEN(B136&amp;C136&amp;D136&amp;E136)&gt;0,"ERROR","OK"))</f>
        <v>#NAME?</v>
      </c>
      <c r="H136" s="1" t="e">
        <f ca="1">IF(A136="","",_xludf.TEXTJOIN(" | ",TRUE,B136,C136,D136,E136,F136))</f>
        <v>#NAME?</v>
      </c>
    </row>
    <row r="137" spans="1:8" x14ac:dyDescent="0.35">
      <c r="A137" s="1">
        <f>Registro_Contenedores!A133</f>
        <v>0</v>
      </c>
      <c r="B137" s="1" t="e">
        <f ca="1">IF(A137="","",_xludf.TEXTJOIN(" | ",TRUE,IF(Registro_Contenedores!J133="","Falta Fecha_CAS",""),IF(Registro_Contenedores!K133="","Falta Deposito_Vacio","")))</f>
        <v>#NAME?</v>
      </c>
      <c r="C137" s="1" t="e">
        <f ca="1">IF(A137="","",_xludf.TEXTJOIN(" | ",TRUE,IF(Planif_Grupasa!G133="","Falta Plan_Llegada_Grupasa",""),IF(Planif_Grupasa!H133="","Falta Bodega",""),IF(Planif_Grupasa!I133="","Falta Hora_Descarga","")))</f>
        <v>#NAME?</v>
      </c>
      <c r="D137" s="1" t="e">
        <f ca="1">IF(A137="","",_xludf.TEXTJOIN(" | ",TRUE,IF(Planif_Galagans!H133="","Falta Plan_Llegada_Patio",""),IF(Planif_Galagans!I133="","Falta Plan_Devolucion_Vacio","")))</f>
        <v>#NAME?</v>
      </c>
      <c r="E137" s="1" t="e">
        <f ca="1">IF(A137="","",_xludf.TEXTJOIN(" | ",TRUE,IF(Status_Operativo!J133="","Falta Status_Actual",""),IF(AND(Status_Operativo!J133="ENTREGADO",Status_Operativo!K133=""),"Falta Horario_Entrega_Real",""),IF(AND(Status_Operativo!J133&lt;&gt;"ENTREGADO",Status_Operativo!K133&lt;&gt;""),"Horario_Entrega_Real solo aplica con status ENTREGADO","")))</f>
        <v>#NAME?</v>
      </c>
      <c r="F137" s="1" t="str">
        <f ca="1">IF(A137="","",IF(AND(Status_Operativo!J133="EN PUERTO",Registro_Contenedores!J133-TODAY()&lt;=3,Registro_Contenedores!J133&gt;=TODAY()),"⚠️ ALERTA CAS",""))</f>
        <v/>
      </c>
      <c r="G137" s="1" t="e">
        <f t="shared" ca="1" si="4"/>
        <v>#NAME?</v>
      </c>
      <c r="H137" s="1" t="e">
        <f ca="1">IF(A137="","",_xludf.TEXTJOIN(" | ",TRUE,B137,C137,D137,E137,F137))</f>
        <v>#NAME?</v>
      </c>
    </row>
    <row r="138" spans="1:8" x14ac:dyDescent="0.35">
      <c r="A138" s="1">
        <f>Registro_Contenedores!A134</f>
        <v>0</v>
      </c>
      <c r="B138" s="1" t="e">
        <f ca="1">IF(A138="","",_xludf.TEXTJOIN(" | ",TRUE,IF(Registro_Contenedores!J134="","Falta Fecha_CAS",""),IF(Registro_Contenedores!K134="","Falta Deposito_Vacio","")))</f>
        <v>#NAME?</v>
      </c>
      <c r="C138" s="1" t="e">
        <f ca="1">IF(A138="","",_xludf.TEXTJOIN(" | ",TRUE,IF(Planif_Grupasa!G134="","Falta Plan_Llegada_Grupasa",""),IF(Planif_Grupasa!H134="","Falta Bodega",""),IF(Planif_Grupasa!I134="","Falta Hora_Descarga","")))</f>
        <v>#NAME?</v>
      </c>
      <c r="D138" s="1" t="e">
        <f ca="1">IF(A138="","",_xludf.TEXTJOIN(" | ",TRUE,IF(Planif_Galagans!H134="","Falta Plan_Llegada_Patio",""),IF(Planif_Galagans!I134="","Falta Plan_Devolucion_Vacio","")))</f>
        <v>#NAME?</v>
      </c>
      <c r="E138" s="1" t="e">
        <f ca="1">IF(A138="","",_xludf.TEXTJOIN(" | ",TRUE,IF(Status_Operativo!J134="","Falta Status_Actual",""),IF(AND(Status_Operativo!J134="ENTREGADO",Status_Operativo!K134=""),"Falta Horario_Entrega_Real",""),IF(AND(Status_Operativo!J134&lt;&gt;"ENTREGADO",Status_Operativo!K134&lt;&gt;""),"Horario_Entrega_Real solo aplica con status ENTREGADO","")))</f>
        <v>#NAME?</v>
      </c>
      <c r="F138" s="1" t="str">
        <f ca="1">IF(A138="","",IF(AND(Status_Operativo!J134="EN PUERTO",Registro_Contenedores!J134-TODAY()&lt;=3,Registro_Contenedores!J134&gt;=TODAY()),"⚠️ ALERTA CAS",""))</f>
        <v/>
      </c>
      <c r="G138" s="1" t="e">
        <f t="shared" ca="1" si="4"/>
        <v>#NAME?</v>
      </c>
      <c r="H138" s="1" t="e">
        <f ca="1">IF(A138="","",_xludf.TEXTJOIN(" | ",TRUE,B138,C138,D138,E138,F138))</f>
        <v>#NAME?</v>
      </c>
    </row>
    <row r="139" spans="1:8" x14ac:dyDescent="0.35">
      <c r="A139" s="1">
        <f>Registro_Contenedores!A135</f>
        <v>0</v>
      </c>
      <c r="B139" s="1" t="e">
        <f ca="1">IF(A139="","",_xludf.TEXTJOIN(" | ",TRUE,IF(Registro_Contenedores!J135="","Falta Fecha_CAS",""),IF(Registro_Contenedores!K135="","Falta Deposito_Vacio","")))</f>
        <v>#NAME?</v>
      </c>
      <c r="C139" s="1" t="e">
        <f ca="1">IF(A139="","",_xludf.TEXTJOIN(" | ",TRUE,IF(Planif_Grupasa!G135="","Falta Plan_Llegada_Grupasa",""),IF(Planif_Grupasa!H135="","Falta Bodega",""),IF(Planif_Grupasa!I135="","Falta Hora_Descarga","")))</f>
        <v>#NAME?</v>
      </c>
      <c r="D139" s="1" t="e">
        <f ca="1">IF(A139="","",_xludf.TEXTJOIN(" | ",TRUE,IF(Planif_Galagans!H135="","Falta Plan_Llegada_Patio",""),IF(Planif_Galagans!I135="","Falta Plan_Devolucion_Vacio","")))</f>
        <v>#NAME?</v>
      </c>
      <c r="E139" s="1" t="e">
        <f ca="1">IF(A139="","",_xludf.TEXTJOIN(" | ",TRUE,IF(Status_Operativo!J135="","Falta Status_Actual",""),IF(AND(Status_Operativo!J135="ENTREGADO",Status_Operativo!K135=""),"Falta Horario_Entrega_Real",""),IF(AND(Status_Operativo!J135&lt;&gt;"ENTREGADO",Status_Operativo!K135&lt;&gt;""),"Horario_Entrega_Real solo aplica con status ENTREGADO","")))</f>
        <v>#NAME?</v>
      </c>
      <c r="F139" s="1" t="str">
        <f ca="1">IF(A139="","",IF(AND(Status_Operativo!J135="EN PUERTO",Registro_Contenedores!J135-TODAY()&lt;=3,Registro_Contenedores!J135&gt;=TODAY()),"⚠️ ALERTA CAS",""))</f>
        <v/>
      </c>
      <c r="G139" s="1" t="e">
        <f t="shared" ca="1" si="4"/>
        <v>#NAME?</v>
      </c>
      <c r="H139" s="1" t="e">
        <f ca="1">IF(A139="","",_xludf.TEXTJOIN(" | ",TRUE,B139,C139,D139,E139,F139))</f>
        <v>#NAME?</v>
      </c>
    </row>
    <row r="140" spans="1:8" x14ac:dyDescent="0.35">
      <c r="A140" s="1">
        <f>Registro_Contenedores!A136</f>
        <v>0</v>
      </c>
      <c r="B140" s="1" t="e">
        <f ca="1">IF(A140="","",_xludf.TEXTJOIN(" | ",TRUE,IF(Registro_Contenedores!J136="","Falta Fecha_CAS",""),IF(Registro_Contenedores!K136="","Falta Deposito_Vacio","")))</f>
        <v>#NAME?</v>
      </c>
      <c r="C140" s="1" t="e">
        <f ca="1">IF(A140="","",_xludf.TEXTJOIN(" | ",TRUE,IF(Planif_Grupasa!G136="","Falta Plan_Llegada_Grupasa",""),IF(Planif_Grupasa!H136="","Falta Bodega",""),IF(Planif_Grupasa!I136="","Falta Hora_Descarga","")))</f>
        <v>#NAME?</v>
      </c>
      <c r="D140" s="1" t="e">
        <f ca="1">IF(A140="","",_xludf.TEXTJOIN(" | ",TRUE,IF(Planif_Galagans!H136="","Falta Plan_Llegada_Patio",""),IF(Planif_Galagans!I136="","Falta Plan_Devolucion_Vacio","")))</f>
        <v>#NAME?</v>
      </c>
      <c r="E140" s="1" t="e">
        <f ca="1">IF(A140="","",_xludf.TEXTJOIN(" | ",TRUE,IF(Status_Operativo!J136="","Falta Status_Actual",""),IF(AND(Status_Operativo!J136="ENTREGADO",Status_Operativo!K136=""),"Falta Horario_Entrega_Real",""),IF(AND(Status_Operativo!J136&lt;&gt;"ENTREGADO",Status_Operativo!K136&lt;&gt;""),"Horario_Entrega_Real solo aplica con status ENTREGADO","")))</f>
        <v>#NAME?</v>
      </c>
      <c r="F140" s="1" t="str">
        <f ca="1">IF(A140="","",IF(AND(Status_Operativo!J136="EN PUERTO",Registro_Contenedores!J136-TODAY()&lt;=3,Registro_Contenedores!J136&gt;=TODAY()),"⚠️ ALERTA CAS",""))</f>
        <v/>
      </c>
      <c r="G140" s="1" t="e">
        <f t="shared" ca="1" si="4"/>
        <v>#NAME?</v>
      </c>
      <c r="H140" s="1" t="e">
        <f ca="1">IF(A140="","",_xludf.TEXTJOIN(" | ",TRUE,B140,C140,D140,E140,F140))</f>
        <v>#NAME?</v>
      </c>
    </row>
    <row r="141" spans="1:8" x14ac:dyDescent="0.35">
      <c r="A141" s="1">
        <f>Registro_Contenedores!A137</f>
        <v>0</v>
      </c>
      <c r="B141" s="1" t="e">
        <f ca="1">IF(A141="","",_xludf.TEXTJOIN(" | ",TRUE,IF(Registro_Contenedores!J137="","Falta Fecha_CAS",""),IF(Registro_Contenedores!K137="","Falta Deposito_Vacio","")))</f>
        <v>#NAME?</v>
      </c>
      <c r="C141" s="1" t="e">
        <f ca="1">IF(A141="","",_xludf.TEXTJOIN(" | ",TRUE,IF(Planif_Grupasa!G137="","Falta Plan_Llegada_Grupasa",""),IF(Planif_Grupasa!H137="","Falta Bodega",""),IF(Planif_Grupasa!I137="","Falta Hora_Descarga","")))</f>
        <v>#NAME?</v>
      </c>
      <c r="D141" s="1" t="e">
        <f ca="1">IF(A141="","",_xludf.TEXTJOIN(" | ",TRUE,IF(Planif_Galagans!H137="","Falta Plan_Llegada_Patio",""),IF(Planif_Galagans!I137="","Falta Plan_Devolucion_Vacio","")))</f>
        <v>#NAME?</v>
      </c>
      <c r="E141" s="1" t="e">
        <f ca="1">IF(A141="","",_xludf.TEXTJOIN(" | ",TRUE,IF(Status_Operativo!J137="","Falta Status_Actual",""),IF(AND(Status_Operativo!J137="ENTREGADO",Status_Operativo!K137=""),"Falta Horario_Entrega_Real",""),IF(AND(Status_Operativo!J137&lt;&gt;"ENTREGADO",Status_Operativo!K137&lt;&gt;""),"Horario_Entrega_Real solo aplica con status ENTREGADO","")))</f>
        <v>#NAME?</v>
      </c>
      <c r="F141" s="1" t="str">
        <f ca="1">IF(A141="","",IF(AND(Status_Operativo!J137="EN PUERTO",Registro_Contenedores!J137-TODAY()&lt;=3,Registro_Contenedores!J137&gt;=TODAY()),"⚠️ ALERTA CAS",""))</f>
        <v/>
      </c>
      <c r="G141" s="1" t="e">
        <f t="shared" ca="1" si="4"/>
        <v>#NAME?</v>
      </c>
      <c r="H141" s="1" t="e">
        <f ca="1">IF(A141="","",_xludf.TEXTJOIN(" | ",TRUE,B141,C141,D141,E141,F141))</f>
        <v>#NAME?</v>
      </c>
    </row>
    <row r="142" spans="1:8" x14ac:dyDescent="0.35">
      <c r="A142" s="1">
        <f>Registro_Contenedores!A138</f>
        <v>0</v>
      </c>
      <c r="B142" s="1" t="e">
        <f ca="1">IF(A142="","",_xludf.TEXTJOIN(" | ",TRUE,IF(Registro_Contenedores!J138="","Falta Fecha_CAS",""),IF(Registro_Contenedores!K138="","Falta Deposito_Vacio","")))</f>
        <v>#NAME?</v>
      </c>
      <c r="C142" s="1" t="e">
        <f ca="1">IF(A142="","",_xludf.TEXTJOIN(" | ",TRUE,IF(Planif_Grupasa!G138="","Falta Plan_Llegada_Grupasa",""),IF(Planif_Grupasa!H138="","Falta Bodega",""),IF(Planif_Grupasa!I138="","Falta Hora_Descarga","")))</f>
        <v>#NAME?</v>
      </c>
      <c r="D142" s="1" t="e">
        <f ca="1">IF(A142="","",_xludf.TEXTJOIN(" | ",TRUE,IF(Planif_Galagans!H138="","Falta Plan_Llegada_Patio",""),IF(Planif_Galagans!I138="","Falta Plan_Devolucion_Vacio","")))</f>
        <v>#NAME?</v>
      </c>
      <c r="E142" s="1" t="e">
        <f ca="1">IF(A142="","",_xludf.TEXTJOIN(" | ",TRUE,IF(Status_Operativo!J138="","Falta Status_Actual",""),IF(AND(Status_Operativo!J138="ENTREGADO",Status_Operativo!K138=""),"Falta Horario_Entrega_Real",""),IF(AND(Status_Operativo!J138&lt;&gt;"ENTREGADO",Status_Operativo!K138&lt;&gt;""),"Horario_Entrega_Real solo aplica con status ENTREGADO","")))</f>
        <v>#NAME?</v>
      </c>
      <c r="F142" s="1" t="str">
        <f ca="1">IF(A142="","",IF(AND(Status_Operativo!J138="EN PUERTO",Registro_Contenedores!J138-TODAY()&lt;=3,Registro_Contenedores!J138&gt;=TODAY()),"⚠️ ALERTA CAS",""))</f>
        <v/>
      </c>
      <c r="G142" s="1" t="e">
        <f t="shared" ca="1" si="4"/>
        <v>#NAME?</v>
      </c>
      <c r="H142" s="1" t="e">
        <f ca="1">IF(A142="","",_xludf.TEXTJOIN(" | ",TRUE,B142,C142,D142,E142,F142))</f>
        <v>#NAME?</v>
      </c>
    </row>
    <row r="143" spans="1:8" x14ac:dyDescent="0.35">
      <c r="A143" s="1">
        <f>Registro_Contenedores!A139</f>
        <v>0</v>
      </c>
      <c r="B143" s="1" t="e">
        <f ca="1">IF(A143="","",_xludf.TEXTJOIN(" | ",TRUE,IF(Registro_Contenedores!J139="","Falta Fecha_CAS",""),IF(Registro_Contenedores!K139="","Falta Deposito_Vacio","")))</f>
        <v>#NAME?</v>
      </c>
      <c r="C143" s="1" t="e">
        <f ca="1">IF(A143="","",_xludf.TEXTJOIN(" | ",TRUE,IF(Planif_Grupasa!G139="","Falta Plan_Llegada_Grupasa",""),IF(Planif_Grupasa!H139="","Falta Bodega",""),IF(Planif_Grupasa!I139="","Falta Hora_Descarga","")))</f>
        <v>#NAME?</v>
      </c>
      <c r="D143" s="1" t="e">
        <f ca="1">IF(A143="","",_xludf.TEXTJOIN(" | ",TRUE,IF(Planif_Galagans!H139="","Falta Plan_Llegada_Patio",""),IF(Planif_Galagans!I139="","Falta Plan_Devolucion_Vacio","")))</f>
        <v>#NAME?</v>
      </c>
      <c r="E143" s="1" t="e">
        <f ca="1">IF(A143="","",_xludf.TEXTJOIN(" | ",TRUE,IF(Status_Operativo!J139="","Falta Status_Actual",""),IF(AND(Status_Operativo!J139="ENTREGADO",Status_Operativo!K139=""),"Falta Horario_Entrega_Real",""),IF(AND(Status_Operativo!J139&lt;&gt;"ENTREGADO",Status_Operativo!K139&lt;&gt;""),"Horario_Entrega_Real solo aplica con status ENTREGADO","")))</f>
        <v>#NAME?</v>
      </c>
      <c r="F143" s="1" t="str">
        <f ca="1">IF(A143="","",IF(AND(Status_Operativo!J139="EN PUERTO",Registro_Contenedores!J139-TODAY()&lt;=3,Registro_Contenedores!J139&gt;=TODAY()),"⚠️ ALERTA CAS",""))</f>
        <v/>
      </c>
      <c r="G143" s="1" t="e">
        <f t="shared" ca="1" si="4"/>
        <v>#NAME?</v>
      </c>
      <c r="H143" s="1" t="e">
        <f ca="1">IF(A143="","",_xludf.TEXTJOIN(" | ",TRUE,B143,C143,D143,E143,F143))</f>
        <v>#NAME?</v>
      </c>
    </row>
    <row r="144" spans="1:8" x14ac:dyDescent="0.35">
      <c r="A144" s="1">
        <f>Registro_Contenedores!A140</f>
        <v>0</v>
      </c>
      <c r="B144" s="1" t="e">
        <f ca="1">IF(A144="","",_xludf.TEXTJOIN(" | ",TRUE,IF(Registro_Contenedores!J140="","Falta Fecha_CAS",""),IF(Registro_Contenedores!K140="","Falta Deposito_Vacio","")))</f>
        <v>#NAME?</v>
      </c>
      <c r="C144" s="1" t="e">
        <f ca="1">IF(A144="","",_xludf.TEXTJOIN(" | ",TRUE,IF(Planif_Grupasa!G140="","Falta Plan_Llegada_Grupasa",""),IF(Planif_Grupasa!H140="","Falta Bodega",""),IF(Planif_Grupasa!I140="","Falta Hora_Descarga","")))</f>
        <v>#NAME?</v>
      </c>
      <c r="D144" s="1" t="e">
        <f ca="1">IF(A144="","",_xludf.TEXTJOIN(" | ",TRUE,IF(Planif_Galagans!H140="","Falta Plan_Llegada_Patio",""),IF(Planif_Galagans!I140="","Falta Plan_Devolucion_Vacio","")))</f>
        <v>#NAME?</v>
      </c>
      <c r="E144" s="1" t="e">
        <f ca="1">IF(A144="","",_xludf.TEXTJOIN(" | ",TRUE,IF(Status_Operativo!J140="","Falta Status_Actual",""),IF(AND(Status_Operativo!J140="ENTREGADO",Status_Operativo!K140=""),"Falta Horario_Entrega_Real",""),IF(AND(Status_Operativo!J140&lt;&gt;"ENTREGADO",Status_Operativo!K140&lt;&gt;""),"Horario_Entrega_Real solo aplica con status ENTREGADO","")))</f>
        <v>#NAME?</v>
      </c>
      <c r="F144" s="1" t="str">
        <f ca="1">IF(A144="","",IF(AND(Status_Operativo!J140="EN PUERTO",Registro_Contenedores!J140-TODAY()&lt;=3,Registro_Contenedores!J140&gt;=TODAY()),"⚠️ ALERTA CAS",""))</f>
        <v/>
      </c>
      <c r="G144" s="1" t="e">
        <f t="shared" ca="1" si="4"/>
        <v>#NAME?</v>
      </c>
      <c r="H144" s="1" t="e">
        <f ca="1">IF(A144="","",_xludf.TEXTJOIN(" | ",TRUE,B144,C144,D144,E144,F144))</f>
        <v>#NAME?</v>
      </c>
    </row>
    <row r="145" spans="1:8" x14ac:dyDescent="0.35">
      <c r="A145" s="1">
        <f>Registro_Contenedores!A141</f>
        <v>0</v>
      </c>
      <c r="B145" s="1" t="e">
        <f ca="1">IF(A145="","",_xludf.TEXTJOIN(" | ",TRUE,IF(Registro_Contenedores!J141="","Falta Fecha_CAS",""),IF(Registro_Contenedores!K141="","Falta Deposito_Vacio","")))</f>
        <v>#NAME?</v>
      </c>
      <c r="C145" s="1" t="e">
        <f ca="1">IF(A145="","",_xludf.TEXTJOIN(" | ",TRUE,IF(Planif_Grupasa!G141="","Falta Plan_Llegada_Grupasa",""),IF(Planif_Grupasa!H141="","Falta Bodega",""),IF(Planif_Grupasa!I141="","Falta Hora_Descarga","")))</f>
        <v>#NAME?</v>
      </c>
      <c r="D145" s="1" t="e">
        <f ca="1">IF(A145="","",_xludf.TEXTJOIN(" | ",TRUE,IF(Planif_Galagans!H141="","Falta Plan_Llegada_Patio",""),IF(Planif_Galagans!I141="","Falta Plan_Devolucion_Vacio","")))</f>
        <v>#NAME?</v>
      </c>
      <c r="E145" s="1" t="e">
        <f ca="1">IF(A145="","",_xludf.TEXTJOIN(" | ",TRUE,IF(Status_Operativo!J141="","Falta Status_Actual",""),IF(AND(Status_Operativo!J141="ENTREGADO",Status_Operativo!K141=""),"Falta Horario_Entrega_Real",""),IF(AND(Status_Operativo!J141&lt;&gt;"ENTREGADO",Status_Operativo!K141&lt;&gt;""),"Horario_Entrega_Real solo aplica con status ENTREGADO","")))</f>
        <v>#NAME?</v>
      </c>
      <c r="F145" s="1" t="str">
        <f ca="1">IF(A145="","",IF(AND(Status_Operativo!J141="EN PUERTO",Registro_Contenedores!J141-TODAY()&lt;=3,Registro_Contenedores!J141&gt;=TODAY()),"⚠️ ALERTA CAS",""))</f>
        <v/>
      </c>
      <c r="G145" s="1" t="e">
        <f t="shared" ca="1" si="4"/>
        <v>#NAME?</v>
      </c>
      <c r="H145" s="1" t="e">
        <f ca="1">IF(A145="","",_xludf.TEXTJOIN(" | ",TRUE,B145,C145,D145,E145,F145))</f>
        <v>#NAME?</v>
      </c>
    </row>
    <row r="146" spans="1:8" x14ac:dyDescent="0.35">
      <c r="A146" s="1">
        <f>Registro_Contenedores!A142</f>
        <v>0</v>
      </c>
      <c r="B146" s="1" t="e">
        <f ca="1">IF(A146="","",_xludf.TEXTJOIN(" | ",TRUE,IF(Registro_Contenedores!J142="","Falta Fecha_CAS",""),IF(Registro_Contenedores!K142="","Falta Deposito_Vacio","")))</f>
        <v>#NAME?</v>
      </c>
      <c r="C146" s="1" t="e">
        <f ca="1">IF(A146="","",_xludf.TEXTJOIN(" | ",TRUE,IF(Planif_Grupasa!G142="","Falta Plan_Llegada_Grupasa",""),IF(Planif_Grupasa!H142="","Falta Bodega",""),IF(Planif_Grupasa!I142="","Falta Hora_Descarga","")))</f>
        <v>#NAME?</v>
      </c>
      <c r="D146" s="1" t="e">
        <f ca="1">IF(A146="","",_xludf.TEXTJOIN(" | ",TRUE,IF(Planif_Galagans!H142="","Falta Plan_Llegada_Patio",""),IF(Planif_Galagans!I142="","Falta Plan_Devolucion_Vacio","")))</f>
        <v>#NAME?</v>
      </c>
      <c r="E146" s="1" t="e">
        <f ca="1">IF(A146="","",_xludf.TEXTJOIN(" | ",TRUE,IF(Status_Operativo!J142="","Falta Status_Actual",""),IF(AND(Status_Operativo!J142="ENTREGADO",Status_Operativo!K142=""),"Falta Horario_Entrega_Real",""),IF(AND(Status_Operativo!J142&lt;&gt;"ENTREGADO",Status_Operativo!K142&lt;&gt;""),"Horario_Entrega_Real solo aplica con status ENTREGADO","")))</f>
        <v>#NAME?</v>
      </c>
      <c r="F146" s="1" t="str">
        <f ca="1">IF(A146="","",IF(AND(Status_Operativo!J142="EN PUERTO",Registro_Contenedores!J142-TODAY()&lt;=3,Registro_Contenedores!J142&gt;=TODAY()),"⚠️ ALERTA CAS",""))</f>
        <v/>
      </c>
      <c r="G146" s="1" t="e">
        <f t="shared" ca="1" si="4"/>
        <v>#NAME?</v>
      </c>
      <c r="H146" s="1" t="e">
        <f ca="1">IF(A146="","",_xludf.TEXTJOIN(" | ",TRUE,B146,C146,D146,E146,F146))</f>
        <v>#NAME?</v>
      </c>
    </row>
    <row r="147" spans="1:8" x14ac:dyDescent="0.35">
      <c r="A147" s="1">
        <f>Registro_Contenedores!A143</f>
        <v>0</v>
      </c>
      <c r="B147" s="1" t="e">
        <f ca="1">IF(A147="","",_xludf.TEXTJOIN(" | ",TRUE,IF(Registro_Contenedores!J143="","Falta Fecha_CAS",""),IF(Registro_Contenedores!K143="","Falta Deposito_Vacio","")))</f>
        <v>#NAME?</v>
      </c>
      <c r="C147" s="1" t="e">
        <f ca="1">IF(A147="","",_xludf.TEXTJOIN(" | ",TRUE,IF(Planif_Grupasa!G143="","Falta Plan_Llegada_Grupasa",""),IF(Planif_Grupasa!H143="","Falta Bodega",""),IF(Planif_Grupasa!I143="","Falta Hora_Descarga","")))</f>
        <v>#NAME?</v>
      </c>
      <c r="D147" s="1" t="e">
        <f ca="1">IF(A147="","",_xludf.TEXTJOIN(" | ",TRUE,IF(Planif_Galagans!H143="","Falta Plan_Llegada_Patio",""),IF(Planif_Galagans!I143="","Falta Plan_Devolucion_Vacio","")))</f>
        <v>#NAME?</v>
      </c>
      <c r="E147" s="1" t="e">
        <f ca="1">IF(A147="","",_xludf.TEXTJOIN(" | ",TRUE,IF(Status_Operativo!J143="","Falta Status_Actual",""),IF(AND(Status_Operativo!J143="ENTREGADO",Status_Operativo!K143=""),"Falta Horario_Entrega_Real",""),IF(AND(Status_Operativo!J143&lt;&gt;"ENTREGADO",Status_Operativo!K143&lt;&gt;""),"Horario_Entrega_Real solo aplica con status ENTREGADO","")))</f>
        <v>#NAME?</v>
      </c>
      <c r="F147" s="1" t="str">
        <f ca="1">IF(A147="","",IF(AND(Status_Operativo!J143="EN PUERTO",Registro_Contenedores!J143-TODAY()&lt;=3,Registro_Contenedores!J143&gt;=TODAY()),"⚠️ ALERTA CAS",""))</f>
        <v/>
      </c>
      <c r="G147" s="1" t="e">
        <f t="shared" ca="1" si="4"/>
        <v>#NAME?</v>
      </c>
      <c r="H147" s="1" t="e">
        <f ca="1">IF(A147="","",_xludf.TEXTJOIN(" | ",TRUE,B147,C147,D147,E147,F147))</f>
        <v>#NAME?</v>
      </c>
    </row>
    <row r="148" spans="1:8" x14ac:dyDescent="0.35">
      <c r="A148" s="1">
        <f>Registro_Contenedores!A144</f>
        <v>0</v>
      </c>
      <c r="B148" s="1" t="e">
        <f ca="1">IF(A148="","",_xludf.TEXTJOIN(" | ",TRUE,IF(Registro_Contenedores!J144="","Falta Fecha_CAS",""),IF(Registro_Contenedores!K144="","Falta Deposito_Vacio","")))</f>
        <v>#NAME?</v>
      </c>
      <c r="C148" s="1" t="e">
        <f ca="1">IF(A148="","",_xludf.TEXTJOIN(" | ",TRUE,IF(Planif_Grupasa!G144="","Falta Plan_Llegada_Grupasa",""),IF(Planif_Grupasa!H144="","Falta Bodega",""),IF(Planif_Grupasa!I144="","Falta Hora_Descarga","")))</f>
        <v>#NAME?</v>
      </c>
      <c r="D148" s="1" t="e">
        <f ca="1">IF(A148="","",_xludf.TEXTJOIN(" | ",TRUE,IF(Planif_Galagans!H144="","Falta Plan_Llegada_Patio",""),IF(Planif_Galagans!I144="","Falta Plan_Devolucion_Vacio","")))</f>
        <v>#NAME?</v>
      </c>
      <c r="E148" s="1" t="e">
        <f ca="1">IF(A148="","",_xludf.TEXTJOIN(" | ",TRUE,IF(Status_Operativo!J144="","Falta Status_Actual",""),IF(AND(Status_Operativo!J144="ENTREGADO",Status_Operativo!K144=""),"Falta Horario_Entrega_Real",""),IF(AND(Status_Operativo!J144&lt;&gt;"ENTREGADO",Status_Operativo!K144&lt;&gt;""),"Horario_Entrega_Real solo aplica con status ENTREGADO","")))</f>
        <v>#NAME?</v>
      </c>
      <c r="F148" s="1" t="str">
        <f ca="1">IF(A148="","",IF(AND(Status_Operativo!J144="EN PUERTO",Registro_Contenedores!J144-TODAY()&lt;=3,Registro_Contenedores!J144&gt;=TODAY()),"⚠️ ALERTA CAS",""))</f>
        <v/>
      </c>
      <c r="G148" s="1" t="e">
        <f t="shared" ca="1" si="4"/>
        <v>#NAME?</v>
      </c>
      <c r="H148" s="1" t="e">
        <f ca="1">IF(A148="","",_xludf.TEXTJOIN(" | ",TRUE,B148,C148,D148,E148,F148))</f>
        <v>#NAME?</v>
      </c>
    </row>
    <row r="149" spans="1:8" x14ac:dyDescent="0.35">
      <c r="A149" s="1">
        <f>Registro_Contenedores!A145</f>
        <v>0</v>
      </c>
      <c r="B149" s="1" t="e">
        <f ca="1">IF(A149="","",_xludf.TEXTJOIN(" | ",TRUE,IF(Registro_Contenedores!J145="","Falta Fecha_CAS",""),IF(Registro_Contenedores!K145="","Falta Deposito_Vacio","")))</f>
        <v>#NAME?</v>
      </c>
      <c r="C149" s="1" t="e">
        <f ca="1">IF(A149="","",_xludf.TEXTJOIN(" | ",TRUE,IF(Planif_Grupasa!G145="","Falta Plan_Llegada_Grupasa",""),IF(Planif_Grupasa!H145="","Falta Bodega",""),IF(Planif_Grupasa!I145="","Falta Hora_Descarga","")))</f>
        <v>#NAME?</v>
      </c>
      <c r="D149" s="1" t="e">
        <f ca="1">IF(A149="","",_xludf.TEXTJOIN(" | ",TRUE,IF(Planif_Galagans!H145="","Falta Plan_Llegada_Patio",""),IF(Planif_Galagans!I145="","Falta Plan_Devolucion_Vacio","")))</f>
        <v>#NAME?</v>
      </c>
      <c r="E149" s="1" t="e">
        <f ca="1">IF(A149="","",_xludf.TEXTJOIN(" | ",TRUE,IF(Status_Operativo!J145="","Falta Status_Actual",""),IF(AND(Status_Operativo!J145="ENTREGADO",Status_Operativo!K145=""),"Falta Horario_Entrega_Real",""),IF(AND(Status_Operativo!J145&lt;&gt;"ENTREGADO",Status_Operativo!K145&lt;&gt;""),"Horario_Entrega_Real solo aplica con status ENTREGADO","")))</f>
        <v>#NAME?</v>
      </c>
      <c r="F149" s="1" t="str">
        <f ca="1">IF(A149="","",IF(AND(Status_Operativo!J145="EN PUERTO",Registro_Contenedores!J145-TODAY()&lt;=3,Registro_Contenedores!J145&gt;=TODAY()),"⚠️ ALERTA CAS",""))</f>
        <v/>
      </c>
      <c r="G149" s="1" t="e">
        <f t="shared" ca="1" si="4"/>
        <v>#NAME?</v>
      </c>
      <c r="H149" s="1" t="e">
        <f ca="1">IF(A149="","",_xludf.TEXTJOIN(" | ",TRUE,B149,C149,D149,E149,F149))</f>
        <v>#NAME?</v>
      </c>
    </row>
    <row r="150" spans="1:8" x14ac:dyDescent="0.35">
      <c r="A150" s="1">
        <f>Registro_Contenedores!A146</f>
        <v>0</v>
      </c>
      <c r="B150" s="1" t="e">
        <f ca="1">IF(A150="","",_xludf.TEXTJOIN(" | ",TRUE,IF(Registro_Contenedores!J146="","Falta Fecha_CAS",""),IF(Registro_Contenedores!K146="","Falta Deposito_Vacio","")))</f>
        <v>#NAME?</v>
      </c>
      <c r="C150" s="1" t="e">
        <f ca="1">IF(A150="","",_xludf.TEXTJOIN(" | ",TRUE,IF(Planif_Grupasa!G146="","Falta Plan_Llegada_Grupasa",""),IF(Planif_Grupasa!H146="","Falta Bodega",""),IF(Planif_Grupasa!I146="","Falta Hora_Descarga","")))</f>
        <v>#NAME?</v>
      </c>
      <c r="D150" s="1" t="e">
        <f ca="1">IF(A150="","",_xludf.TEXTJOIN(" | ",TRUE,IF(Planif_Galagans!H146="","Falta Plan_Llegada_Patio",""),IF(Planif_Galagans!I146="","Falta Plan_Devolucion_Vacio","")))</f>
        <v>#NAME?</v>
      </c>
      <c r="E150" s="1" t="e">
        <f ca="1">IF(A150="","",_xludf.TEXTJOIN(" | ",TRUE,IF(Status_Operativo!J146="","Falta Status_Actual",""),IF(AND(Status_Operativo!J146="ENTREGADO",Status_Operativo!K146=""),"Falta Horario_Entrega_Real",""),IF(AND(Status_Operativo!J146&lt;&gt;"ENTREGADO",Status_Operativo!K146&lt;&gt;""),"Horario_Entrega_Real solo aplica con status ENTREGADO","")))</f>
        <v>#NAME?</v>
      </c>
      <c r="F150" s="1" t="str">
        <f ca="1">IF(A150="","",IF(AND(Status_Operativo!J146="EN PUERTO",Registro_Contenedores!J146-TODAY()&lt;=3,Registro_Contenedores!J146&gt;=TODAY()),"⚠️ ALERTA CAS",""))</f>
        <v/>
      </c>
      <c r="G150" s="1" t="e">
        <f t="shared" ca="1" si="4"/>
        <v>#NAME?</v>
      </c>
      <c r="H150" s="1" t="e">
        <f ca="1">IF(A150="","",_xludf.TEXTJOIN(" | ",TRUE,B150,C150,D150,E150,F150))</f>
        <v>#NAME?</v>
      </c>
    </row>
    <row r="151" spans="1:8" x14ac:dyDescent="0.35">
      <c r="A151" s="1">
        <f>Registro_Contenedores!A147</f>
        <v>0</v>
      </c>
      <c r="B151" s="1" t="e">
        <f ca="1">IF(A151="","",_xludf.TEXTJOIN(" | ",TRUE,IF(Registro_Contenedores!J147="","Falta Fecha_CAS",""),IF(Registro_Contenedores!K147="","Falta Deposito_Vacio","")))</f>
        <v>#NAME?</v>
      </c>
      <c r="C151" s="1" t="e">
        <f ca="1">IF(A151="","",_xludf.TEXTJOIN(" | ",TRUE,IF(Planif_Grupasa!G147="","Falta Plan_Llegada_Grupasa",""),IF(Planif_Grupasa!H147="","Falta Bodega",""),IF(Planif_Grupasa!I147="","Falta Hora_Descarga","")))</f>
        <v>#NAME?</v>
      </c>
      <c r="D151" s="1" t="e">
        <f ca="1">IF(A151="","",_xludf.TEXTJOIN(" | ",TRUE,IF(Planif_Galagans!H147="","Falta Plan_Llegada_Patio",""),IF(Planif_Galagans!I147="","Falta Plan_Devolucion_Vacio","")))</f>
        <v>#NAME?</v>
      </c>
      <c r="E151" s="1" t="e">
        <f ca="1">IF(A151="","",_xludf.TEXTJOIN(" | ",TRUE,IF(Status_Operativo!J147="","Falta Status_Actual",""),IF(AND(Status_Operativo!J147="ENTREGADO",Status_Operativo!K147=""),"Falta Horario_Entrega_Real",""),IF(AND(Status_Operativo!J147&lt;&gt;"ENTREGADO",Status_Operativo!K147&lt;&gt;""),"Horario_Entrega_Real solo aplica con status ENTREGADO","")))</f>
        <v>#NAME?</v>
      </c>
      <c r="F151" s="1" t="str">
        <f ca="1">IF(A151="","",IF(AND(Status_Operativo!J147="EN PUERTO",Registro_Contenedores!J147-TODAY()&lt;=3,Registro_Contenedores!J147&gt;=TODAY()),"⚠️ ALERTA CAS",""))</f>
        <v/>
      </c>
      <c r="G151" s="1" t="e">
        <f t="shared" ca="1" si="4"/>
        <v>#NAME?</v>
      </c>
      <c r="H151" s="1" t="e">
        <f ca="1">IF(A151="","",_xludf.TEXTJOIN(" | ",TRUE,B151,C151,D151,E151,F151))</f>
        <v>#NAME?</v>
      </c>
    </row>
    <row r="152" spans="1:8" x14ac:dyDescent="0.35">
      <c r="A152" s="1">
        <f>Registro_Contenedores!A148</f>
        <v>0</v>
      </c>
      <c r="B152" s="1" t="e">
        <f ca="1">IF(A152="","",_xludf.TEXTJOIN(" | ",TRUE,IF(Registro_Contenedores!J148="","Falta Fecha_CAS",""),IF(Registro_Contenedores!K148="","Falta Deposito_Vacio","")))</f>
        <v>#NAME?</v>
      </c>
      <c r="C152" s="1" t="e">
        <f ca="1">IF(A152="","",_xludf.TEXTJOIN(" | ",TRUE,IF(Planif_Grupasa!G148="","Falta Plan_Llegada_Grupasa",""),IF(Planif_Grupasa!H148="","Falta Bodega",""),IF(Planif_Grupasa!I148="","Falta Hora_Descarga","")))</f>
        <v>#NAME?</v>
      </c>
      <c r="D152" s="1" t="e">
        <f ca="1">IF(A152="","",_xludf.TEXTJOIN(" | ",TRUE,IF(Planif_Galagans!H148="","Falta Plan_Llegada_Patio",""),IF(Planif_Galagans!I148="","Falta Plan_Devolucion_Vacio","")))</f>
        <v>#NAME?</v>
      </c>
      <c r="E152" s="1" t="e">
        <f ca="1">IF(A152="","",_xludf.TEXTJOIN(" | ",TRUE,IF(Status_Operativo!J148="","Falta Status_Actual",""),IF(AND(Status_Operativo!J148="ENTREGADO",Status_Operativo!K148=""),"Falta Horario_Entrega_Real",""),IF(AND(Status_Operativo!J148&lt;&gt;"ENTREGADO",Status_Operativo!K148&lt;&gt;""),"Horario_Entrega_Real solo aplica con status ENTREGADO","")))</f>
        <v>#NAME?</v>
      </c>
      <c r="F152" s="1" t="str">
        <f ca="1">IF(A152="","",IF(AND(Status_Operativo!J148="EN PUERTO",Registro_Contenedores!J148-TODAY()&lt;=3,Registro_Contenedores!J148&gt;=TODAY()),"⚠️ ALERTA CAS",""))</f>
        <v/>
      </c>
      <c r="G152" s="1" t="e">
        <f t="shared" ca="1" si="4"/>
        <v>#NAME?</v>
      </c>
      <c r="H152" s="1" t="e">
        <f ca="1">IF(A152="","",_xludf.TEXTJOIN(" | ",TRUE,B152,C152,D152,E152,F152))</f>
        <v>#NAME?</v>
      </c>
    </row>
    <row r="153" spans="1:8" x14ac:dyDescent="0.35">
      <c r="A153" s="1">
        <f>Registro_Contenedores!A149</f>
        <v>0</v>
      </c>
      <c r="B153" s="1" t="e">
        <f ca="1">IF(A153="","",_xludf.TEXTJOIN(" | ",TRUE,IF(Registro_Contenedores!J149="","Falta Fecha_CAS",""),IF(Registro_Contenedores!K149="","Falta Deposito_Vacio","")))</f>
        <v>#NAME?</v>
      </c>
      <c r="C153" s="1" t="e">
        <f ca="1">IF(A153="","",_xludf.TEXTJOIN(" | ",TRUE,IF(Planif_Grupasa!G149="","Falta Plan_Llegada_Grupasa",""),IF(Planif_Grupasa!H149="","Falta Bodega",""),IF(Planif_Grupasa!I149="","Falta Hora_Descarga","")))</f>
        <v>#NAME?</v>
      </c>
      <c r="D153" s="1" t="e">
        <f ca="1">IF(A153="","",_xludf.TEXTJOIN(" | ",TRUE,IF(Planif_Galagans!H149="","Falta Plan_Llegada_Patio",""),IF(Planif_Galagans!I149="","Falta Plan_Devolucion_Vacio","")))</f>
        <v>#NAME?</v>
      </c>
      <c r="E153" s="1" t="e">
        <f ca="1">IF(A153="","",_xludf.TEXTJOIN(" | ",TRUE,IF(Status_Operativo!J149="","Falta Status_Actual",""),IF(AND(Status_Operativo!J149="ENTREGADO",Status_Operativo!K149=""),"Falta Horario_Entrega_Real",""),IF(AND(Status_Operativo!J149&lt;&gt;"ENTREGADO",Status_Operativo!K149&lt;&gt;""),"Horario_Entrega_Real solo aplica con status ENTREGADO","")))</f>
        <v>#NAME?</v>
      </c>
      <c r="F153" s="1" t="str">
        <f ca="1">IF(A153="","",IF(AND(Status_Operativo!J149="EN PUERTO",Registro_Contenedores!J149-TODAY()&lt;=3,Registro_Contenedores!J149&gt;=TODAY()),"⚠️ ALERTA CAS",""))</f>
        <v/>
      </c>
      <c r="G153" s="1" t="e">
        <f t="shared" ca="1" si="4"/>
        <v>#NAME?</v>
      </c>
      <c r="H153" s="1" t="e">
        <f ca="1">IF(A153="","",_xludf.TEXTJOIN(" | ",TRUE,B153,C153,D153,E153,F153))</f>
        <v>#NAME?</v>
      </c>
    </row>
    <row r="154" spans="1:8" x14ac:dyDescent="0.35">
      <c r="A154" s="1">
        <f>Registro_Contenedores!A150</f>
        <v>0</v>
      </c>
      <c r="B154" s="1" t="e">
        <f ca="1">IF(A154="","",_xludf.TEXTJOIN(" | ",TRUE,IF(Registro_Contenedores!J150="","Falta Fecha_CAS",""),IF(Registro_Contenedores!K150="","Falta Deposito_Vacio","")))</f>
        <v>#NAME?</v>
      </c>
      <c r="C154" s="1" t="e">
        <f ca="1">IF(A154="","",_xludf.TEXTJOIN(" | ",TRUE,IF(Planif_Grupasa!G150="","Falta Plan_Llegada_Grupasa",""),IF(Planif_Grupasa!H150="","Falta Bodega",""),IF(Planif_Grupasa!I150="","Falta Hora_Descarga","")))</f>
        <v>#NAME?</v>
      </c>
      <c r="D154" s="1" t="e">
        <f ca="1">IF(A154="","",_xludf.TEXTJOIN(" | ",TRUE,IF(Planif_Galagans!H150="","Falta Plan_Llegada_Patio",""),IF(Planif_Galagans!I150="","Falta Plan_Devolucion_Vacio","")))</f>
        <v>#NAME?</v>
      </c>
      <c r="E154" s="1" t="e">
        <f ca="1">IF(A154="","",_xludf.TEXTJOIN(" | ",TRUE,IF(Status_Operativo!J150="","Falta Status_Actual",""),IF(AND(Status_Operativo!J150="ENTREGADO",Status_Operativo!K150=""),"Falta Horario_Entrega_Real",""),IF(AND(Status_Operativo!J150&lt;&gt;"ENTREGADO",Status_Operativo!K150&lt;&gt;""),"Horario_Entrega_Real solo aplica con status ENTREGADO","")))</f>
        <v>#NAME?</v>
      </c>
      <c r="F154" s="1" t="str">
        <f ca="1">IF(A154="","",IF(AND(Status_Operativo!J150="EN PUERTO",Registro_Contenedores!J150-TODAY()&lt;=3,Registro_Contenedores!J150&gt;=TODAY()),"⚠️ ALERTA CAS",""))</f>
        <v/>
      </c>
      <c r="G154" s="1" t="e">
        <f t="shared" ca="1" si="4"/>
        <v>#NAME?</v>
      </c>
      <c r="H154" s="1" t="e">
        <f ca="1">IF(A154="","",_xludf.TEXTJOIN(" | ",TRUE,B154,C154,D154,E154,F154))</f>
        <v>#NAME?</v>
      </c>
    </row>
    <row r="155" spans="1:8" x14ac:dyDescent="0.35">
      <c r="A155" s="1">
        <f>Registro_Contenedores!A151</f>
        <v>0</v>
      </c>
      <c r="B155" s="1" t="e">
        <f ca="1">IF(A155="","",_xludf.TEXTJOIN(" | ",TRUE,IF(Registro_Contenedores!J151="","Falta Fecha_CAS",""),IF(Registro_Contenedores!K151="","Falta Deposito_Vacio","")))</f>
        <v>#NAME?</v>
      </c>
      <c r="C155" s="1" t="e">
        <f ca="1">IF(A155="","",_xludf.TEXTJOIN(" | ",TRUE,IF(Planif_Grupasa!G151="","Falta Plan_Llegada_Grupasa",""),IF(Planif_Grupasa!H151="","Falta Bodega",""),IF(Planif_Grupasa!I151="","Falta Hora_Descarga","")))</f>
        <v>#NAME?</v>
      </c>
      <c r="D155" s="1" t="e">
        <f ca="1">IF(A155="","",_xludf.TEXTJOIN(" | ",TRUE,IF(Planif_Galagans!H151="","Falta Plan_Llegada_Patio",""),IF(Planif_Galagans!I151="","Falta Plan_Devolucion_Vacio","")))</f>
        <v>#NAME?</v>
      </c>
      <c r="E155" s="1" t="e">
        <f ca="1">IF(A155="","",_xludf.TEXTJOIN(" | ",TRUE,IF(Status_Operativo!J151="","Falta Status_Actual",""),IF(AND(Status_Operativo!J151="ENTREGADO",Status_Operativo!K151=""),"Falta Horario_Entrega_Real",""),IF(AND(Status_Operativo!J151&lt;&gt;"ENTREGADO",Status_Operativo!K151&lt;&gt;""),"Horario_Entrega_Real solo aplica con status ENTREGADO","")))</f>
        <v>#NAME?</v>
      </c>
      <c r="F155" s="1" t="str">
        <f ca="1">IF(A155="","",IF(AND(Status_Operativo!J151="EN PUERTO",Registro_Contenedores!J151-TODAY()&lt;=3,Registro_Contenedores!J151&gt;=TODAY()),"⚠️ ALERTA CAS",""))</f>
        <v/>
      </c>
      <c r="G155" s="1" t="e">
        <f t="shared" ca="1" si="4"/>
        <v>#NAME?</v>
      </c>
      <c r="H155" s="1" t="e">
        <f ca="1">IF(A155="","",_xludf.TEXTJOIN(" | ",TRUE,B155,C155,D155,E155,F155))</f>
        <v>#NAME?</v>
      </c>
    </row>
    <row r="156" spans="1:8" x14ac:dyDescent="0.35">
      <c r="A156" s="1">
        <f>Registro_Contenedores!A152</f>
        <v>0</v>
      </c>
      <c r="B156" s="1" t="e">
        <f ca="1">IF(A156="","",_xludf.TEXTJOIN(" | ",TRUE,IF(Registro_Contenedores!J152="","Falta Fecha_CAS",""),IF(Registro_Contenedores!K152="","Falta Deposito_Vacio","")))</f>
        <v>#NAME?</v>
      </c>
      <c r="C156" s="1" t="e">
        <f ca="1">IF(A156="","",_xludf.TEXTJOIN(" | ",TRUE,IF(Planif_Grupasa!G152="","Falta Plan_Llegada_Grupasa",""),IF(Planif_Grupasa!H152="","Falta Bodega",""),IF(Planif_Grupasa!I152="","Falta Hora_Descarga","")))</f>
        <v>#NAME?</v>
      </c>
      <c r="D156" s="1" t="e">
        <f ca="1">IF(A156="","",_xludf.TEXTJOIN(" | ",TRUE,IF(Planif_Galagans!H152="","Falta Plan_Llegada_Patio",""),IF(Planif_Galagans!I152="","Falta Plan_Devolucion_Vacio","")))</f>
        <v>#NAME?</v>
      </c>
      <c r="E156" s="1" t="e">
        <f ca="1">IF(A156="","",_xludf.TEXTJOIN(" | ",TRUE,IF(Status_Operativo!J152="","Falta Status_Actual",""),IF(AND(Status_Operativo!J152="ENTREGADO",Status_Operativo!K152=""),"Falta Horario_Entrega_Real",""),IF(AND(Status_Operativo!J152&lt;&gt;"ENTREGADO",Status_Operativo!K152&lt;&gt;""),"Horario_Entrega_Real solo aplica con status ENTREGADO","")))</f>
        <v>#NAME?</v>
      </c>
      <c r="F156" s="1" t="str">
        <f ca="1">IF(A156="","",IF(AND(Status_Operativo!J152="EN PUERTO",Registro_Contenedores!J152-TODAY()&lt;=3,Registro_Contenedores!J152&gt;=TODAY()),"⚠️ ALERTA CAS",""))</f>
        <v/>
      </c>
      <c r="G156" s="1" t="e">
        <f t="shared" ca="1" si="4"/>
        <v>#NAME?</v>
      </c>
      <c r="H156" s="1" t="e">
        <f ca="1">IF(A156="","",_xludf.TEXTJOIN(" | ",TRUE,B156,C156,D156,E156,F156))</f>
        <v>#NAME?</v>
      </c>
    </row>
    <row r="157" spans="1:8" x14ac:dyDescent="0.35">
      <c r="A157" s="1">
        <f>Registro_Contenedores!A153</f>
        <v>0</v>
      </c>
      <c r="B157" s="1" t="e">
        <f ca="1">IF(A157="","",_xludf.TEXTJOIN(" | ",TRUE,IF(Registro_Contenedores!J153="","Falta Fecha_CAS",""),IF(Registro_Contenedores!K153="","Falta Deposito_Vacio","")))</f>
        <v>#NAME?</v>
      </c>
      <c r="C157" s="1" t="e">
        <f ca="1">IF(A157="","",_xludf.TEXTJOIN(" | ",TRUE,IF(Planif_Grupasa!G153="","Falta Plan_Llegada_Grupasa",""),IF(Planif_Grupasa!H153="","Falta Bodega",""),IF(Planif_Grupasa!I153="","Falta Hora_Descarga","")))</f>
        <v>#NAME?</v>
      </c>
      <c r="D157" s="1" t="e">
        <f ca="1">IF(A157="","",_xludf.TEXTJOIN(" | ",TRUE,IF(Planif_Galagans!H153="","Falta Plan_Llegada_Patio",""),IF(Planif_Galagans!I153="","Falta Plan_Devolucion_Vacio","")))</f>
        <v>#NAME?</v>
      </c>
      <c r="E157" s="1" t="e">
        <f ca="1">IF(A157="","",_xludf.TEXTJOIN(" | ",TRUE,IF(Status_Operativo!J153="","Falta Status_Actual",""),IF(AND(Status_Operativo!J153="ENTREGADO",Status_Operativo!K153=""),"Falta Horario_Entrega_Real",""),IF(AND(Status_Operativo!J153&lt;&gt;"ENTREGADO",Status_Operativo!K153&lt;&gt;""),"Horario_Entrega_Real solo aplica con status ENTREGADO","")))</f>
        <v>#NAME?</v>
      </c>
      <c r="F157" s="1" t="str">
        <f ca="1">IF(A157="","",IF(AND(Status_Operativo!J153="EN PUERTO",Registro_Contenedores!J153-TODAY()&lt;=3,Registro_Contenedores!J153&gt;=TODAY()),"⚠️ ALERTA CAS",""))</f>
        <v/>
      </c>
      <c r="G157" s="1" t="e">
        <f t="shared" ca="1" si="4"/>
        <v>#NAME?</v>
      </c>
      <c r="H157" s="1" t="e">
        <f ca="1">IF(A157="","",_xludf.TEXTJOIN(" | ",TRUE,B157,C157,D157,E157,F157))</f>
        <v>#NAME?</v>
      </c>
    </row>
    <row r="158" spans="1:8" x14ac:dyDescent="0.35">
      <c r="A158" s="1">
        <f>Registro_Contenedores!A154</f>
        <v>0</v>
      </c>
      <c r="B158" s="1" t="e">
        <f ca="1">IF(A158="","",_xludf.TEXTJOIN(" | ",TRUE,IF(Registro_Contenedores!J154="","Falta Fecha_CAS",""),IF(Registro_Contenedores!K154="","Falta Deposito_Vacio","")))</f>
        <v>#NAME?</v>
      </c>
      <c r="C158" s="1" t="e">
        <f ca="1">IF(A158="","",_xludf.TEXTJOIN(" | ",TRUE,IF(Planif_Grupasa!G154="","Falta Plan_Llegada_Grupasa",""),IF(Planif_Grupasa!H154="","Falta Bodega",""),IF(Planif_Grupasa!I154="","Falta Hora_Descarga","")))</f>
        <v>#NAME?</v>
      </c>
      <c r="D158" s="1" t="e">
        <f ca="1">IF(A158="","",_xludf.TEXTJOIN(" | ",TRUE,IF(Planif_Galagans!H154="","Falta Plan_Llegada_Patio",""),IF(Planif_Galagans!I154="","Falta Plan_Devolucion_Vacio","")))</f>
        <v>#NAME?</v>
      </c>
      <c r="E158" s="1" t="e">
        <f ca="1">IF(A158="","",_xludf.TEXTJOIN(" | ",TRUE,IF(Status_Operativo!J154="","Falta Status_Actual",""),IF(AND(Status_Operativo!J154="ENTREGADO",Status_Operativo!K154=""),"Falta Horario_Entrega_Real",""),IF(AND(Status_Operativo!J154&lt;&gt;"ENTREGADO",Status_Operativo!K154&lt;&gt;""),"Horario_Entrega_Real solo aplica con status ENTREGADO","")))</f>
        <v>#NAME?</v>
      </c>
      <c r="F158" s="1" t="str">
        <f ca="1">IF(A158="","",IF(AND(Status_Operativo!J154="EN PUERTO",Registro_Contenedores!J154-TODAY()&lt;=3,Registro_Contenedores!J154&gt;=TODAY()),"⚠️ ALERTA CAS",""))</f>
        <v/>
      </c>
      <c r="G158" s="1" t="e">
        <f t="shared" ca="1" si="4"/>
        <v>#NAME?</v>
      </c>
      <c r="H158" s="1" t="e">
        <f ca="1">IF(A158="","",_xludf.TEXTJOIN(" | ",TRUE,B158,C158,D158,E158,F158))</f>
        <v>#NAME?</v>
      </c>
    </row>
    <row r="159" spans="1:8" x14ac:dyDescent="0.35">
      <c r="A159" s="1">
        <f>Registro_Contenedores!A155</f>
        <v>0</v>
      </c>
      <c r="B159" s="1" t="e">
        <f ca="1">IF(A159="","",_xludf.TEXTJOIN(" | ",TRUE,IF(Registro_Contenedores!J155="","Falta Fecha_CAS",""),IF(Registro_Contenedores!K155="","Falta Deposito_Vacio","")))</f>
        <v>#NAME?</v>
      </c>
      <c r="C159" s="1" t="e">
        <f ca="1">IF(A159="","",_xludf.TEXTJOIN(" | ",TRUE,IF(Planif_Grupasa!G155="","Falta Plan_Llegada_Grupasa",""),IF(Planif_Grupasa!H155="","Falta Bodega",""),IF(Planif_Grupasa!I155="","Falta Hora_Descarga","")))</f>
        <v>#NAME?</v>
      </c>
      <c r="D159" s="1" t="e">
        <f ca="1">IF(A159="","",_xludf.TEXTJOIN(" | ",TRUE,IF(Planif_Galagans!H155="","Falta Plan_Llegada_Patio",""),IF(Planif_Galagans!I155="","Falta Plan_Devolucion_Vacio","")))</f>
        <v>#NAME?</v>
      </c>
      <c r="E159" s="1" t="e">
        <f ca="1">IF(A159="","",_xludf.TEXTJOIN(" | ",TRUE,IF(Status_Operativo!J155="","Falta Status_Actual",""),IF(AND(Status_Operativo!J155="ENTREGADO",Status_Operativo!K155=""),"Falta Horario_Entrega_Real",""),IF(AND(Status_Operativo!J155&lt;&gt;"ENTREGADO",Status_Operativo!K155&lt;&gt;""),"Horario_Entrega_Real solo aplica con status ENTREGADO","")))</f>
        <v>#NAME?</v>
      </c>
      <c r="F159" s="1" t="str">
        <f ca="1">IF(A159="","",IF(AND(Status_Operativo!J155="EN PUERTO",Registro_Contenedores!J155-TODAY()&lt;=3,Registro_Contenedores!J155&gt;=TODAY()),"⚠️ ALERTA CAS",""))</f>
        <v/>
      </c>
      <c r="G159" s="1" t="e">
        <f t="shared" ca="1" si="4"/>
        <v>#NAME?</v>
      </c>
      <c r="H159" s="1" t="e">
        <f ca="1">IF(A159="","",_xludf.TEXTJOIN(" | ",TRUE,B159,C159,D159,E159,F159))</f>
        <v>#NAME?</v>
      </c>
    </row>
    <row r="160" spans="1:8" x14ac:dyDescent="0.35">
      <c r="A160" s="1">
        <f>Registro_Contenedores!A156</f>
        <v>0</v>
      </c>
      <c r="B160" s="1" t="e">
        <f ca="1">IF(A160="","",_xludf.TEXTJOIN(" | ",TRUE,IF(Registro_Contenedores!J156="","Falta Fecha_CAS",""),IF(Registro_Contenedores!K156="","Falta Deposito_Vacio","")))</f>
        <v>#NAME?</v>
      </c>
      <c r="C160" s="1" t="e">
        <f ca="1">IF(A160="","",_xludf.TEXTJOIN(" | ",TRUE,IF(Planif_Grupasa!G156="","Falta Plan_Llegada_Grupasa",""),IF(Planif_Grupasa!H156="","Falta Bodega",""),IF(Planif_Grupasa!I156="","Falta Hora_Descarga","")))</f>
        <v>#NAME?</v>
      </c>
      <c r="D160" s="1" t="e">
        <f ca="1">IF(A160="","",_xludf.TEXTJOIN(" | ",TRUE,IF(Planif_Galagans!H156="","Falta Plan_Llegada_Patio",""),IF(Planif_Galagans!I156="","Falta Plan_Devolucion_Vacio","")))</f>
        <v>#NAME?</v>
      </c>
      <c r="E160" s="1" t="e">
        <f ca="1">IF(A160="","",_xludf.TEXTJOIN(" | ",TRUE,IF(Status_Operativo!J156="","Falta Status_Actual",""),IF(AND(Status_Operativo!J156="ENTREGADO",Status_Operativo!K156=""),"Falta Horario_Entrega_Real",""),IF(AND(Status_Operativo!J156&lt;&gt;"ENTREGADO",Status_Operativo!K156&lt;&gt;""),"Horario_Entrega_Real solo aplica con status ENTREGADO","")))</f>
        <v>#NAME?</v>
      </c>
      <c r="F160" s="1" t="str">
        <f ca="1">IF(A160="","",IF(AND(Status_Operativo!J156="EN PUERTO",Registro_Contenedores!J156-TODAY()&lt;=3,Registro_Contenedores!J156&gt;=TODAY()),"⚠️ ALERTA CAS",""))</f>
        <v/>
      </c>
      <c r="G160" s="1" t="e">
        <f t="shared" ca="1" si="4"/>
        <v>#NAME?</v>
      </c>
      <c r="H160" s="1" t="e">
        <f ca="1">IF(A160="","",_xludf.TEXTJOIN(" | ",TRUE,B160,C160,D160,E160,F160))</f>
        <v>#NAME?</v>
      </c>
    </row>
    <row r="161" spans="1:8" x14ac:dyDescent="0.35">
      <c r="A161" s="1">
        <f>Registro_Contenedores!A157</f>
        <v>0</v>
      </c>
      <c r="B161" s="1" t="e">
        <f ca="1">IF(A161="","",_xludf.TEXTJOIN(" | ",TRUE,IF(Registro_Contenedores!J157="","Falta Fecha_CAS",""),IF(Registro_Contenedores!K157="","Falta Deposito_Vacio","")))</f>
        <v>#NAME?</v>
      </c>
      <c r="C161" s="1" t="e">
        <f ca="1">IF(A161="","",_xludf.TEXTJOIN(" | ",TRUE,IF(Planif_Grupasa!G157="","Falta Plan_Llegada_Grupasa",""),IF(Planif_Grupasa!H157="","Falta Bodega",""),IF(Planif_Grupasa!I157="","Falta Hora_Descarga","")))</f>
        <v>#NAME?</v>
      </c>
      <c r="D161" s="1" t="e">
        <f ca="1">IF(A161="","",_xludf.TEXTJOIN(" | ",TRUE,IF(Planif_Galagans!H157="","Falta Plan_Llegada_Patio",""),IF(Planif_Galagans!I157="","Falta Plan_Devolucion_Vacio","")))</f>
        <v>#NAME?</v>
      </c>
      <c r="E161" s="1" t="e">
        <f ca="1">IF(A161="","",_xludf.TEXTJOIN(" | ",TRUE,IF(Status_Operativo!J157="","Falta Status_Actual",""),IF(AND(Status_Operativo!J157="ENTREGADO",Status_Operativo!K157=""),"Falta Horario_Entrega_Real",""),IF(AND(Status_Operativo!J157&lt;&gt;"ENTREGADO",Status_Operativo!K157&lt;&gt;""),"Horario_Entrega_Real solo aplica con status ENTREGADO","")))</f>
        <v>#NAME?</v>
      </c>
      <c r="F161" s="1" t="str">
        <f ca="1">IF(A161="","",IF(AND(Status_Operativo!J157="EN PUERTO",Registro_Contenedores!J157-TODAY()&lt;=3,Registro_Contenedores!J157&gt;=TODAY()),"⚠️ ALERTA CAS",""))</f>
        <v/>
      </c>
      <c r="G161" s="1" t="e">
        <f t="shared" ca="1" si="4"/>
        <v>#NAME?</v>
      </c>
      <c r="H161" s="1" t="e">
        <f ca="1">IF(A161="","",_xludf.TEXTJOIN(" | ",TRUE,B161,C161,D161,E161,F161))</f>
        <v>#NAME?</v>
      </c>
    </row>
    <row r="162" spans="1:8" x14ac:dyDescent="0.35">
      <c r="A162" s="1">
        <f>Registro_Contenedores!A158</f>
        <v>0</v>
      </c>
      <c r="B162" s="1" t="e">
        <f ca="1">IF(A162="","",_xludf.TEXTJOIN(" | ",TRUE,IF(Registro_Contenedores!J158="","Falta Fecha_CAS",""),IF(Registro_Contenedores!K158="","Falta Deposito_Vacio","")))</f>
        <v>#NAME?</v>
      </c>
      <c r="C162" s="1" t="e">
        <f ca="1">IF(A162="","",_xludf.TEXTJOIN(" | ",TRUE,IF(Planif_Grupasa!G158="","Falta Plan_Llegada_Grupasa",""),IF(Planif_Grupasa!H158="","Falta Bodega",""),IF(Planif_Grupasa!I158="","Falta Hora_Descarga","")))</f>
        <v>#NAME?</v>
      </c>
      <c r="D162" s="1" t="e">
        <f ca="1">IF(A162="","",_xludf.TEXTJOIN(" | ",TRUE,IF(Planif_Galagans!H158="","Falta Plan_Llegada_Patio",""),IF(Planif_Galagans!I158="","Falta Plan_Devolucion_Vacio","")))</f>
        <v>#NAME?</v>
      </c>
      <c r="E162" s="1" t="e">
        <f ca="1">IF(A162="","",_xludf.TEXTJOIN(" | ",TRUE,IF(Status_Operativo!J158="","Falta Status_Actual",""),IF(AND(Status_Operativo!J158="ENTREGADO",Status_Operativo!K158=""),"Falta Horario_Entrega_Real",""),IF(AND(Status_Operativo!J158&lt;&gt;"ENTREGADO",Status_Operativo!K158&lt;&gt;""),"Horario_Entrega_Real solo aplica con status ENTREGADO","")))</f>
        <v>#NAME?</v>
      </c>
      <c r="F162" s="1" t="str">
        <f ca="1">IF(A162="","",IF(AND(Status_Operativo!J158="EN PUERTO",Registro_Contenedores!J158-TODAY()&lt;=3,Registro_Contenedores!J158&gt;=TODAY()),"⚠️ ALERTA CAS",""))</f>
        <v/>
      </c>
      <c r="G162" s="1" t="e">
        <f t="shared" ca="1" si="4"/>
        <v>#NAME?</v>
      </c>
      <c r="H162" s="1" t="e">
        <f ca="1">IF(A162="","",_xludf.TEXTJOIN(" | ",TRUE,B162,C162,D162,E162,F162))</f>
        <v>#NAME?</v>
      </c>
    </row>
    <row r="163" spans="1:8" x14ac:dyDescent="0.35">
      <c r="A163" s="1">
        <f>Registro_Contenedores!A159</f>
        <v>0</v>
      </c>
      <c r="B163" s="1" t="e">
        <f ca="1">IF(A163="","",_xludf.TEXTJOIN(" | ",TRUE,IF(Registro_Contenedores!J159="","Falta Fecha_CAS",""),IF(Registro_Contenedores!K159="","Falta Deposito_Vacio","")))</f>
        <v>#NAME?</v>
      </c>
      <c r="C163" s="1" t="e">
        <f ca="1">IF(A163="","",_xludf.TEXTJOIN(" | ",TRUE,IF(Planif_Grupasa!G159="","Falta Plan_Llegada_Grupasa",""),IF(Planif_Grupasa!H159="","Falta Bodega",""),IF(Planif_Grupasa!I159="","Falta Hora_Descarga","")))</f>
        <v>#NAME?</v>
      </c>
      <c r="D163" s="1" t="e">
        <f ca="1">IF(A163="","",_xludf.TEXTJOIN(" | ",TRUE,IF(Planif_Galagans!H159="","Falta Plan_Llegada_Patio",""),IF(Planif_Galagans!I159="","Falta Plan_Devolucion_Vacio","")))</f>
        <v>#NAME?</v>
      </c>
      <c r="E163" s="1" t="e">
        <f ca="1">IF(A163="","",_xludf.TEXTJOIN(" | ",TRUE,IF(Status_Operativo!J159="","Falta Status_Actual",""),IF(AND(Status_Operativo!J159="ENTREGADO",Status_Operativo!K159=""),"Falta Horario_Entrega_Real",""),IF(AND(Status_Operativo!J159&lt;&gt;"ENTREGADO",Status_Operativo!K159&lt;&gt;""),"Horario_Entrega_Real solo aplica con status ENTREGADO","")))</f>
        <v>#NAME?</v>
      </c>
      <c r="F163" s="1" t="str">
        <f ca="1">IF(A163="","",IF(AND(Status_Operativo!J159="EN PUERTO",Registro_Contenedores!J159-TODAY()&lt;=3,Registro_Contenedores!J159&gt;=TODAY()),"⚠️ ALERTA CAS",""))</f>
        <v/>
      </c>
      <c r="G163" s="1" t="e">
        <f t="shared" ca="1" si="4"/>
        <v>#NAME?</v>
      </c>
      <c r="H163" s="1" t="e">
        <f ca="1">IF(A163="","",_xludf.TEXTJOIN(" | ",TRUE,B163,C163,D163,E163,F163))</f>
        <v>#NAME?</v>
      </c>
    </row>
    <row r="164" spans="1:8" x14ac:dyDescent="0.35">
      <c r="A164" s="1">
        <f>Registro_Contenedores!A160</f>
        <v>0</v>
      </c>
      <c r="B164" s="1" t="e">
        <f ca="1">IF(A164="","",_xludf.TEXTJOIN(" | ",TRUE,IF(Registro_Contenedores!J160="","Falta Fecha_CAS",""),IF(Registro_Contenedores!K160="","Falta Deposito_Vacio","")))</f>
        <v>#NAME?</v>
      </c>
      <c r="C164" s="1" t="e">
        <f ca="1">IF(A164="","",_xludf.TEXTJOIN(" | ",TRUE,IF(Planif_Grupasa!G160="","Falta Plan_Llegada_Grupasa",""),IF(Planif_Grupasa!H160="","Falta Bodega",""),IF(Planif_Grupasa!I160="","Falta Hora_Descarga","")))</f>
        <v>#NAME?</v>
      </c>
      <c r="D164" s="1" t="e">
        <f ca="1">IF(A164="","",_xludf.TEXTJOIN(" | ",TRUE,IF(Planif_Galagans!H160="","Falta Plan_Llegada_Patio",""),IF(Planif_Galagans!I160="","Falta Plan_Devolucion_Vacio","")))</f>
        <v>#NAME?</v>
      </c>
      <c r="E164" s="1" t="e">
        <f ca="1">IF(A164="","",_xludf.TEXTJOIN(" | ",TRUE,IF(Status_Operativo!J160="","Falta Status_Actual",""),IF(AND(Status_Operativo!J160="ENTREGADO",Status_Operativo!K160=""),"Falta Horario_Entrega_Real",""),IF(AND(Status_Operativo!J160&lt;&gt;"ENTREGADO",Status_Operativo!K160&lt;&gt;""),"Horario_Entrega_Real solo aplica con status ENTREGADO","")))</f>
        <v>#NAME?</v>
      </c>
      <c r="F164" s="1" t="str">
        <f ca="1">IF(A164="","",IF(AND(Status_Operativo!J160="EN PUERTO",Registro_Contenedores!J160-TODAY()&lt;=3,Registro_Contenedores!J160&gt;=TODAY()),"⚠️ ALERTA CAS",""))</f>
        <v/>
      </c>
      <c r="G164" s="1" t="e">
        <f t="shared" ca="1" si="4"/>
        <v>#NAME?</v>
      </c>
      <c r="H164" s="1" t="e">
        <f ca="1">IF(A164="","",_xludf.TEXTJOIN(" | ",TRUE,B164,C164,D164,E164,F164))</f>
        <v>#NAME?</v>
      </c>
    </row>
    <row r="165" spans="1:8" x14ac:dyDescent="0.35">
      <c r="A165" s="1">
        <f>Registro_Contenedores!A161</f>
        <v>0</v>
      </c>
      <c r="B165" s="1" t="e">
        <f ca="1">IF(A165="","",_xludf.TEXTJOIN(" | ",TRUE,IF(Registro_Contenedores!J161="","Falta Fecha_CAS",""),IF(Registro_Contenedores!K161="","Falta Deposito_Vacio","")))</f>
        <v>#NAME?</v>
      </c>
      <c r="C165" s="1" t="e">
        <f ca="1">IF(A165="","",_xludf.TEXTJOIN(" | ",TRUE,IF(Planif_Grupasa!G161="","Falta Plan_Llegada_Grupasa",""),IF(Planif_Grupasa!H161="","Falta Bodega",""),IF(Planif_Grupasa!I161="","Falta Hora_Descarga","")))</f>
        <v>#NAME?</v>
      </c>
      <c r="D165" s="1" t="e">
        <f ca="1">IF(A165="","",_xludf.TEXTJOIN(" | ",TRUE,IF(Planif_Galagans!H161="","Falta Plan_Llegada_Patio",""),IF(Planif_Galagans!I161="","Falta Plan_Devolucion_Vacio","")))</f>
        <v>#NAME?</v>
      </c>
      <c r="E165" s="1" t="e">
        <f ca="1">IF(A165="","",_xludf.TEXTJOIN(" | ",TRUE,IF(Status_Operativo!J161="","Falta Status_Actual",""),IF(AND(Status_Operativo!J161="ENTREGADO",Status_Operativo!K161=""),"Falta Horario_Entrega_Real",""),IF(AND(Status_Operativo!J161&lt;&gt;"ENTREGADO",Status_Operativo!K161&lt;&gt;""),"Horario_Entrega_Real solo aplica con status ENTREGADO","")))</f>
        <v>#NAME?</v>
      </c>
      <c r="F165" s="1" t="str">
        <f ca="1">IF(A165="","",IF(AND(Status_Operativo!J161="EN PUERTO",Registro_Contenedores!J161-TODAY()&lt;=3,Registro_Contenedores!J161&gt;=TODAY()),"⚠️ ALERTA CAS",""))</f>
        <v/>
      </c>
      <c r="G165" s="1" t="e">
        <f t="shared" ca="1" si="4"/>
        <v>#NAME?</v>
      </c>
      <c r="H165" s="1" t="e">
        <f ca="1">IF(A165="","",_xludf.TEXTJOIN(" | ",TRUE,B165,C165,D165,E165,F165))</f>
        <v>#NAME?</v>
      </c>
    </row>
    <row r="166" spans="1:8" x14ac:dyDescent="0.35">
      <c r="A166" s="1">
        <f>Registro_Contenedores!A162</f>
        <v>0</v>
      </c>
      <c r="B166" s="1" t="e">
        <f ca="1">IF(A166="","",_xludf.TEXTJOIN(" | ",TRUE,IF(Registro_Contenedores!J162="","Falta Fecha_CAS",""),IF(Registro_Contenedores!K162="","Falta Deposito_Vacio","")))</f>
        <v>#NAME?</v>
      </c>
      <c r="C166" s="1" t="e">
        <f ca="1">IF(A166="","",_xludf.TEXTJOIN(" | ",TRUE,IF(Planif_Grupasa!G162="","Falta Plan_Llegada_Grupasa",""),IF(Planif_Grupasa!H162="","Falta Bodega",""),IF(Planif_Grupasa!I162="","Falta Hora_Descarga","")))</f>
        <v>#NAME?</v>
      </c>
      <c r="D166" s="1" t="e">
        <f ca="1">IF(A166="","",_xludf.TEXTJOIN(" | ",TRUE,IF(Planif_Galagans!H162="","Falta Plan_Llegada_Patio",""),IF(Planif_Galagans!I162="","Falta Plan_Devolucion_Vacio","")))</f>
        <v>#NAME?</v>
      </c>
      <c r="E166" s="1" t="e">
        <f ca="1">IF(A166="","",_xludf.TEXTJOIN(" | ",TRUE,IF(Status_Operativo!J162="","Falta Status_Actual",""),IF(AND(Status_Operativo!J162="ENTREGADO",Status_Operativo!K162=""),"Falta Horario_Entrega_Real",""),IF(AND(Status_Operativo!J162&lt;&gt;"ENTREGADO",Status_Operativo!K162&lt;&gt;""),"Horario_Entrega_Real solo aplica con status ENTREGADO","")))</f>
        <v>#NAME?</v>
      </c>
      <c r="F166" s="1" t="str">
        <f ca="1">IF(A166="","",IF(AND(Status_Operativo!J162="EN PUERTO",Registro_Contenedores!J162-TODAY()&lt;=3,Registro_Contenedores!J162&gt;=TODAY()),"⚠️ ALERTA CAS",""))</f>
        <v/>
      </c>
      <c r="G166" s="1" t="e">
        <f t="shared" ca="1" si="4"/>
        <v>#NAME?</v>
      </c>
      <c r="H166" s="1" t="e">
        <f ca="1">IF(A166="","",_xludf.TEXTJOIN(" | ",TRUE,B166,C166,D166,E166,F166))</f>
        <v>#NAME?</v>
      </c>
    </row>
    <row r="167" spans="1:8" x14ac:dyDescent="0.35">
      <c r="A167" s="1">
        <f>Registro_Contenedores!A163</f>
        <v>0</v>
      </c>
      <c r="B167" s="1" t="e">
        <f ca="1">IF(A167="","",_xludf.TEXTJOIN(" | ",TRUE,IF(Registro_Contenedores!J163="","Falta Fecha_CAS",""),IF(Registro_Contenedores!K163="","Falta Deposito_Vacio","")))</f>
        <v>#NAME?</v>
      </c>
      <c r="C167" s="1" t="e">
        <f ca="1">IF(A167="","",_xludf.TEXTJOIN(" | ",TRUE,IF(Planif_Grupasa!G163="","Falta Plan_Llegada_Grupasa",""),IF(Planif_Grupasa!H163="","Falta Bodega",""),IF(Planif_Grupasa!I163="","Falta Hora_Descarga","")))</f>
        <v>#NAME?</v>
      </c>
      <c r="D167" s="1" t="e">
        <f ca="1">IF(A167="","",_xludf.TEXTJOIN(" | ",TRUE,IF(Planif_Galagans!H163="","Falta Plan_Llegada_Patio",""),IF(Planif_Galagans!I163="","Falta Plan_Devolucion_Vacio","")))</f>
        <v>#NAME?</v>
      </c>
      <c r="E167" s="1" t="e">
        <f ca="1">IF(A167="","",_xludf.TEXTJOIN(" | ",TRUE,IF(Status_Operativo!J163="","Falta Status_Actual",""),IF(AND(Status_Operativo!J163="ENTREGADO",Status_Operativo!K163=""),"Falta Horario_Entrega_Real",""),IF(AND(Status_Operativo!J163&lt;&gt;"ENTREGADO",Status_Operativo!K163&lt;&gt;""),"Horario_Entrega_Real solo aplica con status ENTREGADO","")))</f>
        <v>#NAME?</v>
      </c>
      <c r="F167" s="1" t="str">
        <f ca="1">IF(A167="","",IF(AND(Status_Operativo!J163="EN PUERTO",Registro_Contenedores!J163-TODAY()&lt;=3,Registro_Contenedores!J163&gt;=TODAY()),"⚠️ ALERTA CAS",""))</f>
        <v/>
      </c>
      <c r="G167" s="1" t="e">
        <f t="shared" ca="1" si="4"/>
        <v>#NAME?</v>
      </c>
      <c r="H167" s="1" t="e">
        <f ca="1">IF(A167="","",_xludf.TEXTJOIN(" | ",TRUE,B167,C167,D167,E167,F167))</f>
        <v>#NAME?</v>
      </c>
    </row>
    <row r="168" spans="1:8" x14ac:dyDescent="0.35">
      <c r="A168" s="1">
        <f>Registro_Contenedores!A164</f>
        <v>0</v>
      </c>
      <c r="B168" s="1" t="e">
        <f ca="1">IF(A168="","",_xludf.TEXTJOIN(" | ",TRUE,IF(Registro_Contenedores!J164="","Falta Fecha_CAS",""),IF(Registro_Contenedores!K164="","Falta Deposito_Vacio","")))</f>
        <v>#NAME?</v>
      </c>
      <c r="C168" s="1" t="e">
        <f ca="1">IF(A168="","",_xludf.TEXTJOIN(" | ",TRUE,IF(Planif_Grupasa!G164="","Falta Plan_Llegada_Grupasa",""),IF(Planif_Grupasa!H164="","Falta Bodega",""),IF(Planif_Grupasa!I164="","Falta Hora_Descarga","")))</f>
        <v>#NAME?</v>
      </c>
      <c r="D168" s="1" t="e">
        <f ca="1">IF(A168="","",_xludf.TEXTJOIN(" | ",TRUE,IF(Planif_Galagans!H164="","Falta Plan_Llegada_Patio",""),IF(Planif_Galagans!I164="","Falta Plan_Devolucion_Vacio","")))</f>
        <v>#NAME?</v>
      </c>
      <c r="E168" s="1" t="e">
        <f ca="1">IF(A168="","",_xludf.TEXTJOIN(" | ",TRUE,IF(Status_Operativo!J164="","Falta Status_Actual",""),IF(AND(Status_Operativo!J164="ENTREGADO",Status_Operativo!K164=""),"Falta Horario_Entrega_Real",""),IF(AND(Status_Operativo!J164&lt;&gt;"ENTREGADO",Status_Operativo!K164&lt;&gt;""),"Horario_Entrega_Real solo aplica con status ENTREGADO","")))</f>
        <v>#NAME?</v>
      </c>
      <c r="F168" s="1" t="str">
        <f ca="1">IF(A168="","",IF(AND(Status_Operativo!J164="EN PUERTO",Registro_Contenedores!J164-TODAY()&lt;=3,Registro_Contenedores!J164&gt;=TODAY()),"⚠️ ALERTA CAS",""))</f>
        <v/>
      </c>
      <c r="G168" s="1" t="e">
        <f t="shared" ref="G168:G199" ca="1" si="5">IF(A168="","",IF(LEN(B168&amp;C168&amp;D168&amp;E168)&gt;0,"ERROR","OK"))</f>
        <v>#NAME?</v>
      </c>
      <c r="H168" s="1" t="e">
        <f ca="1">IF(A168="","",_xludf.TEXTJOIN(" | ",TRUE,B168,C168,D168,E168,F168))</f>
        <v>#NAME?</v>
      </c>
    </row>
    <row r="169" spans="1:8" x14ac:dyDescent="0.35">
      <c r="A169" s="1">
        <f>Registro_Contenedores!A165</f>
        <v>0</v>
      </c>
      <c r="B169" s="1" t="e">
        <f ca="1">IF(A169="","",_xludf.TEXTJOIN(" | ",TRUE,IF(Registro_Contenedores!J165="","Falta Fecha_CAS",""),IF(Registro_Contenedores!K165="","Falta Deposito_Vacio","")))</f>
        <v>#NAME?</v>
      </c>
      <c r="C169" s="1" t="e">
        <f ca="1">IF(A169="","",_xludf.TEXTJOIN(" | ",TRUE,IF(Planif_Grupasa!G165="","Falta Plan_Llegada_Grupasa",""),IF(Planif_Grupasa!H165="","Falta Bodega",""),IF(Planif_Grupasa!I165="","Falta Hora_Descarga","")))</f>
        <v>#NAME?</v>
      </c>
      <c r="D169" s="1" t="e">
        <f ca="1">IF(A169="","",_xludf.TEXTJOIN(" | ",TRUE,IF(Planif_Galagans!H165="","Falta Plan_Llegada_Patio",""),IF(Planif_Galagans!I165="","Falta Plan_Devolucion_Vacio","")))</f>
        <v>#NAME?</v>
      </c>
      <c r="E169" s="1" t="e">
        <f ca="1">IF(A169="","",_xludf.TEXTJOIN(" | ",TRUE,IF(Status_Operativo!J165="","Falta Status_Actual",""),IF(AND(Status_Operativo!J165="ENTREGADO",Status_Operativo!K165=""),"Falta Horario_Entrega_Real",""),IF(AND(Status_Operativo!J165&lt;&gt;"ENTREGADO",Status_Operativo!K165&lt;&gt;""),"Horario_Entrega_Real solo aplica con status ENTREGADO","")))</f>
        <v>#NAME?</v>
      </c>
      <c r="F169" s="1" t="str">
        <f ca="1">IF(A169="","",IF(AND(Status_Operativo!J165="EN PUERTO",Registro_Contenedores!J165-TODAY()&lt;=3,Registro_Contenedores!J165&gt;=TODAY()),"⚠️ ALERTA CAS",""))</f>
        <v/>
      </c>
      <c r="G169" s="1" t="e">
        <f t="shared" ca="1" si="5"/>
        <v>#NAME?</v>
      </c>
      <c r="H169" s="1" t="e">
        <f ca="1">IF(A169="","",_xludf.TEXTJOIN(" | ",TRUE,B169,C169,D169,E169,F169))</f>
        <v>#NAME?</v>
      </c>
    </row>
    <row r="170" spans="1:8" x14ac:dyDescent="0.35">
      <c r="A170" s="1">
        <f>Registro_Contenedores!A166</f>
        <v>0</v>
      </c>
      <c r="B170" s="1" t="e">
        <f ca="1">IF(A170="","",_xludf.TEXTJOIN(" | ",TRUE,IF(Registro_Contenedores!J166="","Falta Fecha_CAS",""),IF(Registro_Contenedores!K166="","Falta Deposito_Vacio","")))</f>
        <v>#NAME?</v>
      </c>
      <c r="C170" s="1" t="e">
        <f ca="1">IF(A170="","",_xludf.TEXTJOIN(" | ",TRUE,IF(Planif_Grupasa!G166="","Falta Plan_Llegada_Grupasa",""),IF(Planif_Grupasa!H166="","Falta Bodega",""),IF(Planif_Grupasa!I166="","Falta Hora_Descarga","")))</f>
        <v>#NAME?</v>
      </c>
      <c r="D170" s="1" t="e">
        <f ca="1">IF(A170="","",_xludf.TEXTJOIN(" | ",TRUE,IF(Planif_Galagans!H166="","Falta Plan_Llegada_Patio",""),IF(Planif_Galagans!I166="","Falta Plan_Devolucion_Vacio","")))</f>
        <v>#NAME?</v>
      </c>
      <c r="E170" s="1" t="e">
        <f ca="1">IF(A170="","",_xludf.TEXTJOIN(" | ",TRUE,IF(Status_Operativo!J166="","Falta Status_Actual",""),IF(AND(Status_Operativo!J166="ENTREGADO",Status_Operativo!K166=""),"Falta Horario_Entrega_Real",""),IF(AND(Status_Operativo!J166&lt;&gt;"ENTREGADO",Status_Operativo!K166&lt;&gt;""),"Horario_Entrega_Real solo aplica con status ENTREGADO","")))</f>
        <v>#NAME?</v>
      </c>
      <c r="F170" s="1" t="str">
        <f ca="1">IF(A170="","",IF(AND(Status_Operativo!J166="EN PUERTO",Registro_Contenedores!J166-TODAY()&lt;=3,Registro_Contenedores!J166&gt;=TODAY()),"⚠️ ALERTA CAS",""))</f>
        <v/>
      </c>
      <c r="G170" s="1" t="e">
        <f t="shared" ca="1" si="5"/>
        <v>#NAME?</v>
      </c>
      <c r="H170" s="1" t="e">
        <f ca="1">IF(A170="","",_xludf.TEXTJOIN(" | ",TRUE,B170,C170,D170,E170,F170))</f>
        <v>#NAME?</v>
      </c>
    </row>
    <row r="171" spans="1:8" x14ac:dyDescent="0.35">
      <c r="A171" s="1">
        <f>Registro_Contenedores!A167</f>
        <v>0</v>
      </c>
      <c r="B171" s="1" t="e">
        <f ca="1">IF(A171="","",_xludf.TEXTJOIN(" | ",TRUE,IF(Registro_Contenedores!J167="","Falta Fecha_CAS",""),IF(Registro_Contenedores!K167="","Falta Deposito_Vacio","")))</f>
        <v>#NAME?</v>
      </c>
      <c r="C171" s="1" t="e">
        <f ca="1">IF(A171="","",_xludf.TEXTJOIN(" | ",TRUE,IF(Planif_Grupasa!G167="","Falta Plan_Llegada_Grupasa",""),IF(Planif_Grupasa!H167="","Falta Bodega",""),IF(Planif_Grupasa!I167="","Falta Hora_Descarga","")))</f>
        <v>#NAME?</v>
      </c>
      <c r="D171" s="1" t="e">
        <f ca="1">IF(A171="","",_xludf.TEXTJOIN(" | ",TRUE,IF(Planif_Galagans!H167="","Falta Plan_Llegada_Patio",""),IF(Planif_Galagans!I167="","Falta Plan_Devolucion_Vacio","")))</f>
        <v>#NAME?</v>
      </c>
      <c r="E171" s="1" t="e">
        <f ca="1">IF(A171="","",_xludf.TEXTJOIN(" | ",TRUE,IF(Status_Operativo!J167="","Falta Status_Actual",""),IF(AND(Status_Operativo!J167="ENTREGADO",Status_Operativo!K167=""),"Falta Horario_Entrega_Real",""),IF(AND(Status_Operativo!J167&lt;&gt;"ENTREGADO",Status_Operativo!K167&lt;&gt;""),"Horario_Entrega_Real solo aplica con status ENTREGADO","")))</f>
        <v>#NAME?</v>
      </c>
      <c r="F171" s="1" t="str">
        <f ca="1">IF(A171="","",IF(AND(Status_Operativo!J167="EN PUERTO",Registro_Contenedores!J167-TODAY()&lt;=3,Registro_Contenedores!J167&gt;=TODAY()),"⚠️ ALERTA CAS",""))</f>
        <v/>
      </c>
      <c r="G171" s="1" t="e">
        <f t="shared" ca="1" si="5"/>
        <v>#NAME?</v>
      </c>
      <c r="H171" s="1" t="e">
        <f ca="1">IF(A171="","",_xludf.TEXTJOIN(" | ",TRUE,B171,C171,D171,E171,F171))</f>
        <v>#NAME?</v>
      </c>
    </row>
    <row r="172" spans="1:8" x14ac:dyDescent="0.35">
      <c r="A172" s="1">
        <f>Registro_Contenedores!A168</f>
        <v>0</v>
      </c>
      <c r="B172" s="1" t="e">
        <f ca="1">IF(A172="","",_xludf.TEXTJOIN(" | ",TRUE,IF(Registro_Contenedores!J168="","Falta Fecha_CAS",""),IF(Registro_Contenedores!K168="","Falta Deposito_Vacio","")))</f>
        <v>#NAME?</v>
      </c>
      <c r="C172" s="1" t="e">
        <f ca="1">IF(A172="","",_xludf.TEXTJOIN(" | ",TRUE,IF(Planif_Grupasa!G168="","Falta Plan_Llegada_Grupasa",""),IF(Planif_Grupasa!H168="","Falta Bodega",""),IF(Planif_Grupasa!I168="","Falta Hora_Descarga","")))</f>
        <v>#NAME?</v>
      </c>
      <c r="D172" s="1" t="e">
        <f ca="1">IF(A172="","",_xludf.TEXTJOIN(" | ",TRUE,IF(Planif_Galagans!H168="","Falta Plan_Llegada_Patio",""),IF(Planif_Galagans!I168="","Falta Plan_Devolucion_Vacio","")))</f>
        <v>#NAME?</v>
      </c>
      <c r="E172" s="1" t="e">
        <f ca="1">IF(A172="","",_xludf.TEXTJOIN(" | ",TRUE,IF(Status_Operativo!J168="","Falta Status_Actual",""),IF(AND(Status_Operativo!J168="ENTREGADO",Status_Operativo!K168=""),"Falta Horario_Entrega_Real",""),IF(AND(Status_Operativo!J168&lt;&gt;"ENTREGADO",Status_Operativo!K168&lt;&gt;""),"Horario_Entrega_Real solo aplica con status ENTREGADO","")))</f>
        <v>#NAME?</v>
      </c>
      <c r="F172" s="1" t="str">
        <f ca="1">IF(A172="","",IF(AND(Status_Operativo!J168="EN PUERTO",Registro_Contenedores!J168-TODAY()&lt;=3,Registro_Contenedores!J168&gt;=TODAY()),"⚠️ ALERTA CAS",""))</f>
        <v/>
      </c>
      <c r="G172" s="1" t="e">
        <f t="shared" ca="1" si="5"/>
        <v>#NAME?</v>
      </c>
      <c r="H172" s="1" t="e">
        <f ca="1">IF(A172="","",_xludf.TEXTJOIN(" | ",TRUE,B172,C172,D172,E172,F172))</f>
        <v>#NAME?</v>
      </c>
    </row>
    <row r="173" spans="1:8" x14ac:dyDescent="0.35">
      <c r="A173" s="1">
        <f>Registro_Contenedores!A169</f>
        <v>0</v>
      </c>
      <c r="B173" s="1" t="e">
        <f ca="1">IF(A173="","",_xludf.TEXTJOIN(" | ",TRUE,IF(Registro_Contenedores!J169="","Falta Fecha_CAS",""),IF(Registro_Contenedores!K169="","Falta Deposito_Vacio","")))</f>
        <v>#NAME?</v>
      </c>
      <c r="C173" s="1" t="e">
        <f ca="1">IF(A173="","",_xludf.TEXTJOIN(" | ",TRUE,IF(Planif_Grupasa!G169="","Falta Plan_Llegada_Grupasa",""),IF(Planif_Grupasa!H169="","Falta Bodega",""),IF(Planif_Grupasa!I169="","Falta Hora_Descarga","")))</f>
        <v>#NAME?</v>
      </c>
      <c r="D173" s="1" t="e">
        <f ca="1">IF(A173="","",_xludf.TEXTJOIN(" | ",TRUE,IF(Planif_Galagans!H169="","Falta Plan_Llegada_Patio",""),IF(Planif_Galagans!I169="","Falta Plan_Devolucion_Vacio","")))</f>
        <v>#NAME?</v>
      </c>
      <c r="E173" s="1" t="e">
        <f ca="1">IF(A173="","",_xludf.TEXTJOIN(" | ",TRUE,IF(Status_Operativo!J169="","Falta Status_Actual",""),IF(AND(Status_Operativo!J169="ENTREGADO",Status_Operativo!K169=""),"Falta Horario_Entrega_Real",""),IF(AND(Status_Operativo!J169&lt;&gt;"ENTREGADO",Status_Operativo!K169&lt;&gt;""),"Horario_Entrega_Real solo aplica con status ENTREGADO","")))</f>
        <v>#NAME?</v>
      </c>
      <c r="F173" s="1" t="str">
        <f ca="1">IF(A173="","",IF(AND(Status_Operativo!J169="EN PUERTO",Registro_Contenedores!J169-TODAY()&lt;=3,Registro_Contenedores!J169&gt;=TODAY()),"⚠️ ALERTA CAS",""))</f>
        <v/>
      </c>
      <c r="G173" s="1" t="e">
        <f t="shared" ca="1" si="5"/>
        <v>#NAME?</v>
      </c>
      <c r="H173" s="1" t="e">
        <f ca="1">IF(A173="","",_xludf.TEXTJOIN(" | ",TRUE,B173,C173,D173,E173,F173))</f>
        <v>#NAME?</v>
      </c>
    </row>
    <row r="174" spans="1:8" x14ac:dyDescent="0.35">
      <c r="A174" s="1">
        <f>Registro_Contenedores!A170</f>
        <v>0</v>
      </c>
      <c r="B174" s="1" t="e">
        <f ca="1">IF(A174="","",_xludf.TEXTJOIN(" | ",TRUE,IF(Registro_Contenedores!J170="","Falta Fecha_CAS",""),IF(Registro_Contenedores!K170="","Falta Deposito_Vacio","")))</f>
        <v>#NAME?</v>
      </c>
      <c r="C174" s="1" t="e">
        <f ca="1">IF(A174="","",_xludf.TEXTJOIN(" | ",TRUE,IF(Planif_Grupasa!G170="","Falta Plan_Llegada_Grupasa",""),IF(Planif_Grupasa!H170="","Falta Bodega",""),IF(Planif_Grupasa!I170="","Falta Hora_Descarga","")))</f>
        <v>#NAME?</v>
      </c>
      <c r="D174" s="1" t="e">
        <f ca="1">IF(A174="","",_xludf.TEXTJOIN(" | ",TRUE,IF(Planif_Galagans!H170="","Falta Plan_Llegada_Patio",""),IF(Planif_Galagans!I170="","Falta Plan_Devolucion_Vacio","")))</f>
        <v>#NAME?</v>
      </c>
      <c r="E174" s="1" t="e">
        <f ca="1">IF(A174="","",_xludf.TEXTJOIN(" | ",TRUE,IF(Status_Operativo!J170="","Falta Status_Actual",""),IF(AND(Status_Operativo!J170="ENTREGADO",Status_Operativo!K170=""),"Falta Horario_Entrega_Real",""),IF(AND(Status_Operativo!J170&lt;&gt;"ENTREGADO",Status_Operativo!K170&lt;&gt;""),"Horario_Entrega_Real solo aplica con status ENTREGADO","")))</f>
        <v>#NAME?</v>
      </c>
      <c r="F174" s="1" t="str">
        <f ca="1">IF(A174="","",IF(AND(Status_Operativo!J170="EN PUERTO",Registro_Contenedores!J170-TODAY()&lt;=3,Registro_Contenedores!J170&gt;=TODAY()),"⚠️ ALERTA CAS",""))</f>
        <v/>
      </c>
      <c r="G174" s="1" t="e">
        <f t="shared" ca="1" si="5"/>
        <v>#NAME?</v>
      </c>
      <c r="H174" s="1" t="e">
        <f ca="1">IF(A174="","",_xludf.TEXTJOIN(" | ",TRUE,B174,C174,D174,E174,F174))</f>
        <v>#NAME?</v>
      </c>
    </row>
    <row r="175" spans="1:8" x14ac:dyDescent="0.35">
      <c r="A175" s="1">
        <f>Registro_Contenedores!A171</f>
        <v>0</v>
      </c>
      <c r="B175" s="1" t="e">
        <f ca="1">IF(A175="","",_xludf.TEXTJOIN(" | ",TRUE,IF(Registro_Contenedores!J171="","Falta Fecha_CAS",""),IF(Registro_Contenedores!K171="","Falta Deposito_Vacio","")))</f>
        <v>#NAME?</v>
      </c>
      <c r="C175" s="1" t="e">
        <f ca="1">IF(A175="","",_xludf.TEXTJOIN(" | ",TRUE,IF(Planif_Grupasa!G171="","Falta Plan_Llegada_Grupasa",""),IF(Planif_Grupasa!H171="","Falta Bodega",""),IF(Planif_Grupasa!I171="","Falta Hora_Descarga","")))</f>
        <v>#NAME?</v>
      </c>
      <c r="D175" s="1" t="e">
        <f ca="1">IF(A175="","",_xludf.TEXTJOIN(" | ",TRUE,IF(Planif_Galagans!H171="","Falta Plan_Llegada_Patio",""),IF(Planif_Galagans!I171="","Falta Plan_Devolucion_Vacio","")))</f>
        <v>#NAME?</v>
      </c>
      <c r="E175" s="1" t="e">
        <f ca="1">IF(A175="","",_xludf.TEXTJOIN(" | ",TRUE,IF(Status_Operativo!J171="","Falta Status_Actual",""),IF(AND(Status_Operativo!J171="ENTREGADO",Status_Operativo!K171=""),"Falta Horario_Entrega_Real",""),IF(AND(Status_Operativo!J171&lt;&gt;"ENTREGADO",Status_Operativo!K171&lt;&gt;""),"Horario_Entrega_Real solo aplica con status ENTREGADO","")))</f>
        <v>#NAME?</v>
      </c>
      <c r="F175" s="1" t="str">
        <f ca="1">IF(A175="","",IF(AND(Status_Operativo!J171="EN PUERTO",Registro_Contenedores!J171-TODAY()&lt;=3,Registro_Contenedores!J171&gt;=TODAY()),"⚠️ ALERTA CAS",""))</f>
        <v/>
      </c>
      <c r="G175" s="1" t="e">
        <f t="shared" ca="1" si="5"/>
        <v>#NAME?</v>
      </c>
      <c r="H175" s="1" t="e">
        <f ca="1">IF(A175="","",_xludf.TEXTJOIN(" | ",TRUE,B175,C175,D175,E175,F175))</f>
        <v>#NAME?</v>
      </c>
    </row>
    <row r="176" spans="1:8" x14ac:dyDescent="0.35">
      <c r="A176" s="1">
        <f>Registro_Contenedores!A172</f>
        <v>0</v>
      </c>
      <c r="B176" s="1" t="e">
        <f ca="1">IF(A176="","",_xludf.TEXTJOIN(" | ",TRUE,IF(Registro_Contenedores!J172="","Falta Fecha_CAS",""),IF(Registro_Contenedores!K172="","Falta Deposito_Vacio","")))</f>
        <v>#NAME?</v>
      </c>
      <c r="C176" s="1" t="e">
        <f ca="1">IF(A176="","",_xludf.TEXTJOIN(" | ",TRUE,IF(Planif_Grupasa!G172="","Falta Plan_Llegada_Grupasa",""),IF(Planif_Grupasa!H172="","Falta Bodega",""),IF(Planif_Grupasa!I172="","Falta Hora_Descarga","")))</f>
        <v>#NAME?</v>
      </c>
      <c r="D176" s="1" t="e">
        <f ca="1">IF(A176="","",_xludf.TEXTJOIN(" | ",TRUE,IF(Planif_Galagans!H172="","Falta Plan_Llegada_Patio",""),IF(Planif_Galagans!I172="","Falta Plan_Devolucion_Vacio","")))</f>
        <v>#NAME?</v>
      </c>
      <c r="E176" s="1" t="e">
        <f ca="1">IF(A176="","",_xludf.TEXTJOIN(" | ",TRUE,IF(Status_Operativo!J172="","Falta Status_Actual",""),IF(AND(Status_Operativo!J172="ENTREGADO",Status_Operativo!K172=""),"Falta Horario_Entrega_Real",""),IF(AND(Status_Operativo!J172&lt;&gt;"ENTREGADO",Status_Operativo!K172&lt;&gt;""),"Horario_Entrega_Real solo aplica con status ENTREGADO","")))</f>
        <v>#NAME?</v>
      </c>
      <c r="F176" s="1" t="str">
        <f ca="1">IF(A176="","",IF(AND(Status_Operativo!J172="EN PUERTO",Registro_Contenedores!J172-TODAY()&lt;=3,Registro_Contenedores!J172&gt;=TODAY()),"⚠️ ALERTA CAS",""))</f>
        <v/>
      </c>
      <c r="G176" s="1" t="e">
        <f t="shared" ca="1" si="5"/>
        <v>#NAME?</v>
      </c>
      <c r="H176" s="1" t="e">
        <f ca="1">IF(A176="","",_xludf.TEXTJOIN(" | ",TRUE,B176,C176,D176,E176,F176))</f>
        <v>#NAME?</v>
      </c>
    </row>
    <row r="177" spans="1:8" x14ac:dyDescent="0.35">
      <c r="A177" s="1">
        <f>Registro_Contenedores!A173</f>
        <v>0</v>
      </c>
      <c r="B177" s="1" t="e">
        <f ca="1">IF(A177="","",_xludf.TEXTJOIN(" | ",TRUE,IF(Registro_Contenedores!J173="","Falta Fecha_CAS",""),IF(Registro_Contenedores!K173="","Falta Deposito_Vacio","")))</f>
        <v>#NAME?</v>
      </c>
      <c r="C177" s="1" t="e">
        <f ca="1">IF(A177="","",_xludf.TEXTJOIN(" | ",TRUE,IF(Planif_Grupasa!G173="","Falta Plan_Llegada_Grupasa",""),IF(Planif_Grupasa!H173="","Falta Bodega",""),IF(Planif_Grupasa!I173="","Falta Hora_Descarga","")))</f>
        <v>#NAME?</v>
      </c>
      <c r="D177" s="1" t="e">
        <f ca="1">IF(A177="","",_xludf.TEXTJOIN(" | ",TRUE,IF(Planif_Galagans!H173="","Falta Plan_Llegada_Patio",""),IF(Planif_Galagans!I173="","Falta Plan_Devolucion_Vacio","")))</f>
        <v>#NAME?</v>
      </c>
      <c r="E177" s="1" t="e">
        <f ca="1">IF(A177="","",_xludf.TEXTJOIN(" | ",TRUE,IF(Status_Operativo!J173="","Falta Status_Actual",""),IF(AND(Status_Operativo!J173="ENTREGADO",Status_Operativo!K173=""),"Falta Horario_Entrega_Real",""),IF(AND(Status_Operativo!J173&lt;&gt;"ENTREGADO",Status_Operativo!K173&lt;&gt;""),"Horario_Entrega_Real solo aplica con status ENTREGADO","")))</f>
        <v>#NAME?</v>
      </c>
      <c r="F177" s="1" t="str">
        <f ca="1">IF(A177="","",IF(AND(Status_Operativo!J173="EN PUERTO",Registro_Contenedores!J173-TODAY()&lt;=3,Registro_Contenedores!J173&gt;=TODAY()),"⚠️ ALERTA CAS",""))</f>
        <v/>
      </c>
      <c r="G177" s="1" t="e">
        <f t="shared" ca="1" si="5"/>
        <v>#NAME?</v>
      </c>
      <c r="H177" s="1" t="e">
        <f ca="1">IF(A177="","",_xludf.TEXTJOIN(" | ",TRUE,B177,C177,D177,E177,F177))</f>
        <v>#NAME?</v>
      </c>
    </row>
    <row r="178" spans="1:8" x14ac:dyDescent="0.35">
      <c r="A178" s="1">
        <f>Registro_Contenedores!A174</f>
        <v>0</v>
      </c>
      <c r="B178" s="1" t="e">
        <f ca="1">IF(A178="","",_xludf.TEXTJOIN(" | ",TRUE,IF(Registro_Contenedores!J174="","Falta Fecha_CAS",""),IF(Registro_Contenedores!K174="","Falta Deposito_Vacio","")))</f>
        <v>#NAME?</v>
      </c>
      <c r="C178" s="1" t="e">
        <f ca="1">IF(A178="","",_xludf.TEXTJOIN(" | ",TRUE,IF(Planif_Grupasa!G174="","Falta Plan_Llegada_Grupasa",""),IF(Planif_Grupasa!H174="","Falta Bodega",""),IF(Planif_Grupasa!I174="","Falta Hora_Descarga","")))</f>
        <v>#NAME?</v>
      </c>
      <c r="D178" s="1" t="e">
        <f ca="1">IF(A178="","",_xludf.TEXTJOIN(" | ",TRUE,IF(Planif_Galagans!H174="","Falta Plan_Llegada_Patio",""),IF(Planif_Galagans!I174="","Falta Plan_Devolucion_Vacio","")))</f>
        <v>#NAME?</v>
      </c>
      <c r="E178" s="1" t="e">
        <f ca="1">IF(A178="","",_xludf.TEXTJOIN(" | ",TRUE,IF(Status_Operativo!J174="","Falta Status_Actual",""),IF(AND(Status_Operativo!J174="ENTREGADO",Status_Operativo!K174=""),"Falta Horario_Entrega_Real",""),IF(AND(Status_Operativo!J174&lt;&gt;"ENTREGADO",Status_Operativo!K174&lt;&gt;""),"Horario_Entrega_Real solo aplica con status ENTREGADO","")))</f>
        <v>#NAME?</v>
      </c>
      <c r="F178" s="1" t="str">
        <f ca="1">IF(A178="","",IF(AND(Status_Operativo!J174="EN PUERTO",Registro_Contenedores!J174-TODAY()&lt;=3,Registro_Contenedores!J174&gt;=TODAY()),"⚠️ ALERTA CAS",""))</f>
        <v/>
      </c>
      <c r="G178" s="1" t="e">
        <f t="shared" ca="1" si="5"/>
        <v>#NAME?</v>
      </c>
      <c r="H178" s="1" t="e">
        <f ca="1">IF(A178="","",_xludf.TEXTJOIN(" | ",TRUE,B178,C178,D178,E178,F178))</f>
        <v>#NAME?</v>
      </c>
    </row>
    <row r="179" spans="1:8" x14ac:dyDescent="0.35">
      <c r="A179" s="1">
        <f>Registro_Contenedores!A175</f>
        <v>0</v>
      </c>
      <c r="B179" s="1" t="e">
        <f ca="1">IF(A179="","",_xludf.TEXTJOIN(" | ",TRUE,IF(Registro_Contenedores!J175="","Falta Fecha_CAS",""),IF(Registro_Contenedores!K175="","Falta Deposito_Vacio","")))</f>
        <v>#NAME?</v>
      </c>
      <c r="C179" s="1" t="e">
        <f ca="1">IF(A179="","",_xludf.TEXTJOIN(" | ",TRUE,IF(Planif_Grupasa!G175="","Falta Plan_Llegada_Grupasa",""),IF(Planif_Grupasa!H175="","Falta Bodega",""),IF(Planif_Grupasa!I175="","Falta Hora_Descarga","")))</f>
        <v>#NAME?</v>
      </c>
      <c r="D179" s="1" t="e">
        <f ca="1">IF(A179="","",_xludf.TEXTJOIN(" | ",TRUE,IF(Planif_Galagans!H175="","Falta Plan_Llegada_Patio",""),IF(Planif_Galagans!I175="","Falta Plan_Devolucion_Vacio","")))</f>
        <v>#NAME?</v>
      </c>
      <c r="E179" s="1" t="e">
        <f ca="1">IF(A179="","",_xludf.TEXTJOIN(" | ",TRUE,IF(Status_Operativo!J175="","Falta Status_Actual",""),IF(AND(Status_Operativo!J175="ENTREGADO",Status_Operativo!K175=""),"Falta Horario_Entrega_Real",""),IF(AND(Status_Operativo!J175&lt;&gt;"ENTREGADO",Status_Operativo!K175&lt;&gt;""),"Horario_Entrega_Real solo aplica con status ENTREGADO","")))</f>
        <v>#NAME?</v>
      </c>
      <c r="F179" s="1" t="str">
        <f ca="1">IF(A179="","",IF(AND(Status_Operativo!J175="EN PUERTO",Registro_Contenedores!J175-TODAY()&lt;=3,Registro_Contenedores!J175&gt;=TODAY()),"⚠️ ALERTA CAS",""))</f>
        <v/>
      </c>
      <c r="G179" s="1" t="e">
        <f t="shared" ca="1" si="5"/>
        <v>#NAME?</v>
      </c>
      <c r="H179" s="1" t="e">
        <f ca="1">IF(A179="","",_xludf.TEXTJOIN(" | ",TRUE,B179,C179,D179,E179,F179))</f>
        <v>#NAME?</v>
      </c>
    </row>
    <row r="180" spans="1:8" x14ac:dyDescent="0.35">
      <c r="A180" s="1">
        <f>Registro_Contenedores!A176</f>
        <v>0</v>
      </c>
      <c r="B180" s="1" t="e">
        <f ca="1">IF(A180="","",_xludf.TEXTJOIN(" | ",TRUE,IF(Registro_Contenedores!J176="","Falta Fecha_CAS",""),IF(Registro_Contenedores!K176="","Falta Deposito_Vacio","")))</f>
        <v>#NAME?</v>
      </c>
      <c r="C180" s="1" t="e">
        <f ca="1">IF(A180="","",_xludf.TEXTJOIN(" | ",TRUE,IF(Planif_Grupasa!G176="","Falta Plan_Llegada_Grupasa",""),IF(Planif_Grupasa!H176="","Falta Bodega",""),IF(Planif_Grupasa!I176="","Falta Hora_Descarga","")))</f>
        <v>#NAME?</v>
      </c>
      <c r="D180" s="1" t="e">
        <f ca="1">IF(A180="","",_xludf.TEXTJOIN(" | ",TRUE,IF(Planif_Galagans!H176="","Falta Plan_Llegada_Patio",""),IF(Planif_Galagans!I176="","Falta Plan_Devolucion_Vacio","")))</f>
        <v>#NAME?</v>
      </c>
      <c r="E180" s="1" t="e">
        <f ca="1">IF(A180="","",_xludf.TEXTJOIN(" | ",TRUE,IF(Status_Operativo!J176="","Falta Status_Actual",""),IF(AND(Status_Operativo!J176="ENTREGADO",Status_Operativo!K176=""),"Falta Horario_Entrega_Real",""),IF(AND(Status_Operativo!J176&lt;&gt;"ENTREGADO",Status_Operativo!K176&lt;&gt;""),"Horario_Entrega_Real solo aplica con status ENTREGADO","")))</f>
        <v>#NAME?</v>
      </c>
      <c r="F180" s="1" t="str">
        <f ca="1">IF(A180="","",IF(AND(Status_Operativo!J176="EN PUERTO",Registro_Contenedores!J176-TODAY()&lt;=3,Registro_Contenedores!J176&gt;=TODAY()),"⚠️ ALERTA CAS",""))</f>
        <v/>
      </c>
      <c r="G180" s="1" t="e">
        <f t="shared" ca="1" si="5"/>
        <v>#NAME?</v>
      </c>
      <c r="H180" s="1" t="e">
        <f ca="1">IF(A180="","",_xludf.TEXTJOIN(" | ",TRUE,B180,C180,D180,E180,F180))</f>
        <v>#NAME?</v>
      </c>
    </row>
    <row r="181" spans="1:8" x14ac:dyDescent="0.35">
      <c r="A181" s="1">
        <f>Registro_Contenedores!A177</f>
        <v>0</v>
      </c>
      <c r="B181" s="1" t="e">
        <f ca="1">IF(A181="","",_xludf.TEXTJOIN(" | ",TRUE,IF(Registro_Contenedores!J177="","Falta Fecha_CAS",""),IF(Registro_Contenedores!K177="","Falta Deposito_Vacio","")))</f>
        <v>#NAME?</v>
      </c>
      <c r="C181" s="1" t="e">
        <f ca="1">IF(A181="","",_xludf.TEXTJOIN(" | ",TRUE,IF(Planif_Grupasa!G177="","Falta Plan_Llegada_Grupasa",""),IF(Planif_Grupasa!H177="","Falta Bodega",""),IF(Planif_Grupasa!I177="","Falta Hora_Descarga","")))</f>
        <v>#NAME?</v>
      </c>
      <c r="D181" s="1" t="e">
        <f ca="1">IF(A181="","",_xludf.TEXTJOIN(" | ",TRUE,IF(Planif_Galagans!H177="","Falta Plan_Llegada_Patio",""),IF(Planif_Galagans!I177="","Falta Plan_Devolucion_Vacio","")))</f>
        <v>#NAME?</v>
      </c>
      <c r="E181" s="1" t="e">
        <f ca="1">IF(A181="","",_xludf.TEXTJOIN(" | ",TRUE,IF(Status_Operativo!J177="","Falta Status_Actual",""),IF(AND(Status_Operativo!J177="ENTREGADO",Status_Operativo!K177=""),"Falta Horario_Entrega_Real",""),IF(AND(Status_Operativo!J177&lt;&gt;"ENTREGADO",Status_Operativo!K177&lt;&gt;""),"Horario_Entrega_Real solo aplica con status ENTREGADO","")))</f>
        <v>#NAME?</v>
      </c>
      <c r="F181" s="1" t="str">
        <f ca="1">IF(A181="","",IF(AND(Status_Operativo!J177="EN PUERTO",Registro_Contenedores!J177-TODAY()&lt;=3,Registro_Contenedores!J177&gt;=TODAY()),"⚠️ ALERTA CAS",""))</f>
        <v/>
      </c>
      <c r="G181" s="1" t="e">
        <f t="shared" ca="1" si="5"/>
        <v>#NAME?</v>
      </c>
      <c r="H181" s="1" t="e">
        <f ca="1">IF(A181="","",_xludf.TEXTJOIN(" | ",TRUE,B181,C181,D181,E181,F181))</f>
        <v>#NAME?</v>
      </c>
    </row>
    <row r="182" spans="1:8" x14ac:dyDescent="0.35">
      <c r="A182" s="1">
        <f>Registro_Contenedores!A178</f>
        <v>0</v>
      </c>
      <c r="B182" s="1" t="e">
        <f ca="1">IF(A182="","",_xludf.TEXTJOIN(" | ",TRUE,IF(Registro_Contenedores!J178="","Falta Fecha_CAS",""),IF(Registro_Contenedores!K178="","Falta Deposito_Vacio","")))</f>
        <v>#NAME?</v>
      </c>
      <c r="C182" s="1" t="e">
        <f ca="1">IF(A182="","",_xludf.TEXTJOIN(" | ",TRUE,IF(Planif_Grupasa!G178="","Falta Plan_Llegada_Grupasa",""),IF(Planif_Grupasa!H178="","Falta Bodega",""),IF(Planif_Grupasa!I178="","Falta Hora_Descarga","")))</f>
        <v>#NAME?</v>
      </c>
      <c r="D182" s="1" t="e">
        <f ca="1">IF(A182="","",_xludf.TEXTJOIN(" | ",TRUE,IF(Planif_Galagans!H178="","Falta Plan_Llegada_Patio",""),IF(Planif_Galagans!I178="","Falta Plan_Devolucion_Vacio","")))</f>
        <v>#NAME?</v>
      </c>
      <c r="E182" s="1" t="e">
        <f ca="1">IF(A182="","",_xludf.TEXTJOIN(" | ",TRUE,IF(Status_Operativo!J178="","Falta Status_Actual",""),IF(AND(Status_Operativo!J178="ENTREGADO",Status_Operativo!K178=""),"Falta Horario_Entrega_Real",""),IF(AND(Status_Operativo!J178&lt;&gt;"ENTREGADO",Status_Operativo!K178&lt;&gt;""),"Horario_Entrega_Real solo aplica con status ENTREGADO","")))</f>
        <v>#NAME?</v>
      </c>
      <c r="F182" s="1" t="str">
        <f ca="1">IF(A182="","",IF(AND(Status_Operativo!J178="EN PUERTO",Registro_Contenedores!J178-TODAY()&lt;=3,Registro_Contenedores!J178&gt;=TODAY()),"⚠️ ALERTA CAS",""))</f>
        <v/>
      </c>
      <c r="G182" s="1" t="e">
        <f t="shared" ca="1" si="5"/>
        <v>#NAME?</v>
      </c>
      <c r="H182" s="1" t="e">
        <f ca="1">IF(A182="","",_xludf.TEXTJOIN(" | ",TRUE,B182,C182,D182,E182,F182))</f>
        <v>#NAME?</v>
      </c>
    </row>
    <row r="183" spans="1:8" x14ac:dyDescent="0.35">
      <c r="A183" s="1">
        <f>Registro_Contenedores!A179</f>
        <v>0</v>
      </c>
      <c r="B183" s="1" t="e">
        <f ca="1">IF(A183="","",_xludf.TEXTJOIN(" | ",TRUE,IF(Registro_Contenedores!J179="","Falta Fecha_CAS",""),IF(Registro_Contenedores!K179="","Falta Deposito_Vacio","")))</f>
        <v>#NAME?</v>
      </c>
      <c r="C183" s="1" t="e">
        <f ca="1">IF(A183="","",_xludf.TEXTJOIN(" | ",TRUE,IF(Planif_Grupasa!G179="","Falta Plan_Llegada_Grupasa",""),IF(Planif_Grupasa!H179="","Falta Bodega",""),IF(Planif_Grupasa!I179="","Falta Hora_Descarga","")))</f>
        <v>#NAME?</v>
      </c>
      <c r="D183" s="1" t="e">
        <f ca="1">IF(A183="","",_xludf.TEXTJOIN(" | ",TRUE,IF(Planif_Galagans!H179="","Falta Plan_Llegada_Patio",""),IF(Planif_Galagans!I179="","Falta Plan_Devolucion_Vacio","")))</f>
        <v>#NAME?</v>
      </c>
      <c r="E183" s="1" t="e">
        <f ca="1">IF(A183="","",_xludf.TEXTJOIN(" | ",TRUE,IF(Status_Operativo!J179="","Falta Status_Actual",""),IF(AND(Status_Operativo!J179="ENTREGADO",Status_Operativo!K179=""),"Falta Horario_Entrega_Real",""),IF(AND(Status_Operativo!J179&lt;&gt;"ENTREGADO",Status_Operativo!K179&lt;&gt;""),"Horario_Entrega_Real solo aplica con status ENTREGADO","")))</f>
        <v>#NAME?</v>
      </c>
      <c r="F183" s="1" t="str">
        <f ca="1">IF(A183="","",IF(AND(Status_Operativo!J179="EN PUERTO",Registro_Contenedores!J179-TODAY()&lt;=3,Registro_Contenedores!J179&gt;=TODAY()),"⚠️ ALERTA CAS",""))</f>
        <v/>
      </c>
      <c r="G183" s="1" t="e">
        <f t="shared" ca="1" si="5"/>
        <v>#NAME?</v>
      </c>
      <c r="H183" s="1" t="e">
        <f ca="1">IF(A183="","",_xludf.TEXTJOIN(" | ",TRUE,B183,C183,D183,E183,F183))</f>
        <v>#NAME?</v>
      </c>
    </row>
    <row r="184" spans="1:8" x14ac:dyDescent="0.35">
      <c r="A184" s="1">
        <f>Registro_Contenedores!A180</f>
        <v>0</v>
      </c>
      <c r="B184" s="1" t="e">
        <f ca="1">IF(A184="","",_xludf.TEXTJOIN(" | ",TRUE,IF(Registro_Contenedores!J180="","Falta Fecha_CAS",""),IF(Registro_Contenedores!K180="","Falta Deposito_Vacio","")))</f>
        <v>#NAME?</v>
      </c>
      <c r="C184" s="1" t="e">
        <f ca="1">IF(A184="","",_xludf.TEXTJOIN(" | ",TRUE,IF(Planif_Grupasa!G180="","Falta Plan_Llegada_Grupasa",""),IF(Planif_Grupasa!H180="","Falta Bodega",""),IF(Planif_Grupasa!I180="","Falta Hora_Descarga","")))</f>
        <v>#NAME?</v>
      </c>
      <c r="D184" s="1" t="e">
        <f ca="1">IF(A184="","",_xludf.TEXTJOIN(" | ",TRUE,IF(Planif_Galagans!H180="","Falta Plan_Llegada_Patio",""),IF(Planif_Galagans!I180="","Falta Plan_Devolucion_Vacio","")))</f>
        <v>#NAME?</v>
      </c>
      <c r="E184" s="1" t="e">
        <f ca="1">IF(A184="","",_xludf.TEXTJOIN(" | ",TRUE,IF(Status_Operativo!J180="","Falta Status_Actual",""),IF(AND(Status_Operativo!J180="ENTREGADO",Status_Operativo!K180=""),"Falta Horario_Entrega_Real",""),IF(AND(Status_Operativo!J180&lt;&gt;"ENTREGADO",Status_Operativo!K180&lt;&gt;""),"Horario_Entrega_Real solo aplica con status ENTREGADO","")))</f>
        <v>#NAME?</v>
      </c>
      <c r="F184" s="1" t="str">
        <f ca="1">IF(A184="","",IF(AND(Status_Operativo!J180="EN PUERTO",Registro_Contenedores!J180-TODAY()&lt;=3,Registro_Contenedores!J180&gt;=TODAY()),"⚠️ ALERTA CAS",""))</f>
        <v/>
      </c>
      <c r="G184" s="1" t="e">
        <f t="shared" ca="1" si="5"/>
        <v>#NAME?</v>
      </c>
      <c r="H184" s="1" t="e">
        <f ca="1">IF(A184="","",_xludf.TEXTJOIN(" | ",TRUE,B184,C184,D184,E184,F184))</f>
        <v>#NAME?</v>
      </c>
    </row>
    <row r="185" spans="1:8" x14ac:dyDescent="0.35">
      <c r="A185" s="1">
        <f>Registro_Contenedores!A181</f>
        <v>0</v>
      </c>
      <c r="B185" s="1" t="e">
        <f ca="1">IF(A185="","",_xludf.TEXTJOIN(" | ",TRUE,IF(Registro_Contenedores!J181="","Falta Fecha_CAS",""),IF(Registro_Contenedores!K181="","Falta Deposito_Vacio","")))</f>
        <v>#NAME?</v>
      </c>
      <c r="C185" s="1" t="e">
        <f ca="1">IF(A185="","",_xludf.TEXTJOIN(" | ",TRUE,IF(Planif_Grupasa!G181="","Falta Plan_Llegada_Grupasa",""),IF(Planif_Grupasa!H181="","Falta Bodega",""),IF(Planif_Grupasa!I181="","Falta Hora_Descarga","")))</f>
        <v>#NAME?</v>
      </c>
      <c r="D185" s="1" t="e">
        <f ca="1">IF(A185="","",_xludf.TEXTJOIN(" | ",TRUE,IF(Planif_Galagans!H181="","Falta Plan_Llegada_Patio",""),IF(Planif_Galagans!I181="","Falta Plan_Devolucion_Vacio","")))</f>
        <v>#NAME?</v>
      </c>
      <c r="E185" s="1" t="e">
        <f ca="1">IF(A185="","",_xludf.TEXTJOIN(" | ",TRUE,IF(Status_Operativo!J181="","Falta Status_Actual",""),IF(AND(Status_Operativo!J181="ENTREGADO",Status_Operativo!K181=""),"Falta Horario_Entrega_Real",""),IF(AND(Status_Operativo!J181&lt;&gt;"ENTREGADO",Status_Operativo!K181&lt;&gt;""),"Horario_Entrega_Real solo aplica con status ENTREGADO","")))</f>
        <v>#NAME?</v>
      </c>
      <c r="F185" s="1" t="str">
        <f ca="1">IF(A185="","",IF(AND(Status_Operativo!J181="EN PUERTO",Registro_Contenedores!J181-TODAY()&lt;=3,Registro_Contenedores!J181&gt;=TODAY()),"⚠️ ALERTA CAS",""))</f>
        <v/>
      </c>
      <c r="G185" s="1" t="e">
        <f t="shared" ca="1" si="5"/>
        <v>#NAME?</v>
      </c>
      <c r="H185" s="1" t="e">
        <f ca="1">IF(A185="","",_xludf.TEXTJOIN(" | ",TRUE,B185,C185,D185,E185,F185))</f>
        <v>#NAME?</v>
      </c>
    </row>
    <row r="186" spans="1:8" x14ac:dyDescent="0.35">
      <c r="A186" s="1">
        <f>Registro_Contenedores!A182</f>
        <v>0</v>
      </c>
      <c r="B186" s="1" t="e">
        <f ca="1">IF(A186="","",_xludf.TEXTJOIN(" | ",TRUE,IF(Registro_Contenedores!J182="","Falta Fecha_CAS",""),IF(Registro_Contenedores!K182="","Falta Deposito_Vacio","")))</f>
        <v>#NAME?</v>
      </c>
      <c r="C186" s="1" t="e">
        <f ca="1">IF(A186="","",_xludf.TEXTJOIN(" | ",TRUE,IF(Planif_Grupasa!G182="","Falta Plan_Llegada_Grupasa",""),IF(Planif_Grupasa!H182="","Falta Bodega",""),IF(Planif_Grupasa!I182="","Falta Hora_Descarga","")))</f>
        <v>#NAME?</v>
      </c>
      <c r="D186" s="1" t="e">
        <f ca="1">IF(A186="","",_xludf.TEXTJOIN(" | ",TRUE,IF(Planif_Galagans!H182="","Falta Plan_Llegada_Patio",""),IF(Planif_Galagans!I182="","Falta Plan_Devolucion_Vacio","")))</f>
        <v>#NAME?</v>
      </c>
      <c r="E186" s="1" t="e">
        <f ca="1">IF(A186="","",_xludf.TEXTJOIN(" | ",TRUE,IF(Status_Operativo!J182="","Falta Status_Actual",""),IF(AND(Status_Operativo!J182="ENTREGADO",Status_Operativo!K182=""),"Falta Horario_Entrega_Real",""),IF(AND(Status_Operativo!J182&lt;&gt;"ENTREGADO",Status_Operativo!K182&lt;&gt;""),"Horario_Entrega_Real solo aplica con status ENTREGADO","")))</f>
        <v>#NAME?</v>
      </c>
      <c r="F186" s="1" t="str">
        <f ca="1">IF(A186="","",IF(AND(Status_Operativo!J182="EN PUERTO",Registro_Contenedores!J182-TODAY()&lt;=3,Registro_Contenedores!J182&gt;=TODAY()),"⚠️ ALERTA CAS",""))</f>
        <v/>
      </c>
      <c r="G186" s="1" t="e">
        <f t="shared" ca="1" si="5"/>
        <v>#NAME?</v>
      </c>
      <c r="H186" s="1" t="e">
        <f ca="1">IF(A186="","",_xludf.TEXTJOIN(" | ",TRUE,B186,C186,D186,E186,F186))</f>
        <v>#NAME?</v>
      </c>
    </row>
    <row r="187" spans="1:8" x14ac:dyDescent="0.35">
      <c r="A187" s="1">
        <f>Registro_Contenedores!A183</f>
        <v>0</v>
      </c>
      <c r="B187" s="1" t="e">
        <f ca="1">IF(A187="","",_xludf.TEXTJOIN(" | ",TRUE,IF(Registro_Contenedores!J183="","Falta Fecha_CAS",""),IF(Registro_Contenedores!K183="","Falta Deposito_Vacio","")))</f>
        <v>#NAME?</v>
      </c>
      <c r="C187" s="1" t="e">
        <f ca="1">IF(A187="","",_xludf.TEXTJOIN(" | ",TRUE,IF(Planif_Grupasa!G183="","Falta Plan_Llegada_Grupasa",""),IF(Planif_Grupasa!H183="","Falta Bodega",""),IF(Planif_Grupasa!I183="","Falta Hora_Descarga","")))</f>
        <v>#NAME?</v>
      </c>
      <c r="D187" s="1" t="e">
        <f ca="1">IF(A187="","",_xludf.TEXTJOIN(" | ",TRUE,IF(Planif_Galagans!H183="","Falta Plan_Llegada_Patio",""),IF(Planif_Galagans!I183="","Falta Plan_Devolucion_Vacio","")))</f>
        <v>#NAME?</v>
      </c>
      <c r="E187" s="1" t="e">
        <f ca="1">IF(A187="","",_xludf.TEXTJOIN(" | ",TRUE,IF(Status_Operativo!J183="","Falta Status_Actual",""),IF(AND(Status_Operativo!J183="ENTREGADO",Status_Operativo!K183=""),"Falta Horario_Entrega_Real",""),IF(AND(Status_Operativo!J183&lt;&gt;"ENTREGADO",Status_Operativo!K183&lt;&gt;""),"Horario_Entrega_Real solo aplica con status ENTREGADO","")))</f>
        <v>#NAME?</v>
      </c>
      <c r="F187" s="1" t="str">
        <f ca="1">IF(A187="","",IF(AND(Status_Operativo!J183="EN PUERTO",Registro_Contenedores!J183-TODAY()&lt;=3,Registro_Contenedores!J183&gt;=TODAY()),"⚠️ ALERTA CAS",""))</f>
        <v/>
      </c>
      <c r="G187" s="1" t="e">
        <f t="shared" ca="1" si="5"/>
        <v>#NAME?</v>
      </c>
      <c r="H187" s="1" t="e">
        <f ca="1">IF(A187="","",_xludf.TEXTJOIN(" | ",TRUE,B187,C187,D187,E187,F187))</f>
        <v>#NAME?</v>
      </c>
    </row>
    <row r="188" spans="1:8" x14ac:dyDescent="0.35">
      <c r="A188" s="1">
        <f>Registro_Contenedores!A184</f>
        <v>0</v>
      </c>
      <c r="B188" s="1" t="e">
        <f ca="1">IF(A188="","",_xludf.TEXTJOIN(" | ",TRUE,IF(Registro_Contenedores!J184="","Falta Fecha_CAS",""),IF(Registro_Contenedores!K184="","Falta Deposito_Vacio","")))</f>
        <v>#NAME?</v>
      </c>
      <c r="C188" s="1" t="e">
        <f ca="1">IF(A188="","",_xludf.TEXTJOIN(" | ",TRUE,IF(Planif_Grupasa!G184="","Falta Plan_Llegada_Grupasa",""),IF(Planif_Grupasa!H184="","Falta Bodega",""),IF(Planif_Grupasa!I184="","Falta Hora_Descarga","")))</f>
        <v>#NAME?</v>
      </c>
      <c r="D188" s="1" t="e">
        <f ca="1">IF(A188="","",_xludf.TEXTJOIN(" | ",TRUE,IF(Planif_Galagans!H184="","Falta Plan_Llegada_Patio",""),IF(Planif_Galagans!I184="","Falta Plan_Devolucion_Vacio","")))</f>
        <v>#NAME?</v>
      </c>
      <c r="E188" s="1" t="e">
        <f ca="1">IF(A188="","",_xludf.TEXTJOIN(" | ",TRUE,IF(Status_Operativo!J184="","Falta Status_Actual",""),IF(AND(Status_Operativo!J184="ENTREGADO",Status_Operativo!K184=""),"Falta Horario_Entrega_Real",""),IF(AND(Status_Operativo!J184&lt;&gt;"ENTREGADO",Status_Operativo!K184&lt;&gt;""),"Horario_Entrega_Real solo aplica con status ENTREGADO","")))</f>
        <v>#NAME?</v>
      </c>
      <c r="F188" s="1" t="str">
        <f ca="1">IF(A188="","",IF(AND(Status_Operativo!J184="EN PUERTO",Registro_Contenedores!J184-TODAY()&lt;=3,Registro_Contenedores!J184&gt;=TODAY()),"⚠️ ALERTA CAS",""))</f>
        <v/>
      </c>
      <c r="G188" s="1" t="e">
        <f t="shared" ca="1" si="5"/>
        <v>#NAME?</v>
      </c>
      <c r="H188" s="1" t="e">
        <f ca="1">IF(A188="","",_xludf.TEXTJOIN(" | ",TRUE,B188,C188,D188,E188,F188))</f>
        <v>#NAME?</v>
      </c>
    </row>
    <row r="189" spans="1:8" x14ac:dyDescent="0.35">
      <c r="A189" s="1">
        <f>Registro_Contenedores!A185</f>
        <v>0</v>
      </c>
      <c r="B189" s="1" t="e">
        <f ca="1">IF(A189="","",_xludf.TEXTJOIN(" | ",TRUE,IF(Registro_Contenedores!J185="","Falta Fecha_CAS",""),IF(Registro_Contenedores!K185="","Falta Deposito_Vacio","")))</f>
        <v>#NAME?</v>
      </c>
      <c r="C189" s="1" t="e">
        <f ca="1">IF(A189="","",_xludf.TEXTJOIN(" | ",TRUE,IF(Planif_Grupasa!G185="","Falta Plan_Llegada_Grupasa",""),IF(Planif_Grupasa!H185="","Falta Bodega",""),IF(Planif_Grupasa!I185="","Falta Hora_Descarga","")))</f>
        <v>#NAME?</v>
      </c>
      <c r="D189" s="1" t="e">
        <f ca="1">IF(A189="","",_xludf.TEXTJOIN(" | ",TRUE,IF(Planif_Galagans!H185="","Falta Plan_Llegada_Patio",""),IF(Planif_Galagans!I185="","Falta Plan_Devolucion_Vacio","")))</f>
        <v>#NAME?</v>
      </c>
      <c r="E189" s="1" t="e">
        <f ca="1">IF(A189="","",_xludf.TEXTJOIN(" | ",TRUE,IF(Status_Operativo!J185="","Falta Status_Actual",""),IF(AND(Status_Operativo!J185="ENTREGADO",Status_Operativo!K185=""),"Falta Horario_Entrega_Real",""),IF(AND(Status_Operativo!J185&lt;&gt;"ENTREGADO",Status_Operativo!K185&lt;&gt;""),"Horario_Entrega_Real solo aplica con status ENTREGADO","")))</f>
        <v>#NAME?</v>
      </c>
      <c r="F189" s="1" t="str">
        <f ca="1">IF(A189="","",IF(AND(Status_Operativo!J185="EN PUERTO",Registro_Contenedores!J185-TODAY()&lt;=3,Registro_Contenedores!J185&gt;=TODAY()),"⚠️ ALERTA CAS",""))</f>
        <v/>
      </c>
      <c r="G189" s="1" t="e">
        <f t="shared" ca="1" si="5"/>
        <v>#NAME?</v>
      </c>
      <c r="H189" s="1" t="e">
        <f ca="1">IF(A189="","",_xludf.TEXTJOIN(" | ",TRUE,B189,C189,D189,E189,F189))</f>
        <v>#NAME?</v>
      </c>
    </row>
    <row r="190" spans="1:8" x14ac:dyDescent="0.35">
      <c r="A190" s="1">
        <f>Registro_Contenedores!A186</f>
        <v>0</v>
      </c>
      <c r="B190" s="1" t="e">
        <f ca="1">IF(A190="","",_xludf.TEXTJOIN(" | ",TRUE,IF(Registro_Contenedores!J186="","Falta Fecha_CAS",""),IF(Registro_Contenedores!K186="","Falta Deposito_Vacio","")))</f>
        <v>#NAME?</v>
      </c>
      <c r="C190" s="1" t="e">
        <f ca="1">IF(A190="","",_xludf.TEXTJOIN(" | ",TRUE,IF(Planif_Grupasa!G186="","Falta Plan_Llegada_Grupasa",""),IF(Planif_Grupasa!H186="","Falta Bodega",""),IF(Planif_Grupasa!I186="","Falta Hora_Descarga","")))</f>
        <v>#NAME?</v>
      </c>
      <c r="D190" s="1" t="e">
        <f ca="1">IF(A190="","",_xludf.TEXTJOIN(" | ",TRUE,IF(Planif_Galagans!H186="","Falta Plan_Llegada_Patio",""),IF(Planif_Galagans!I186="","Falta Plan_Devolucion_Vacio","")))</f>
        <v>#NAME?</v>
      </c>
      <c r="E190" s="1" t="e">
        <f ca="1">IF(A190="","",_xludf.TEXTJOIN(" | ",TRUE,IF(Status_Operativo!J186="","Falta Status_Actual",""),IF(AND(Status_Operativo!J186="ENTREGADO",Status_Operativo!K186=""),"Falta Horario_Entrega_Real",""),IF(AND(Status_Operativo!J186&lt;&gt;"ENTREGADO",Status_Operativo!K186&lt;&gt;""),"Horario_Entrega_Real solo aplica con status ENTREGADO","")))</f>
        <v>#NAME?</v>
      </c>
      <c r="F190" s="1" t="str">
        <f ca="1">IF(A190="","",IF(AND(Status_Operativo!J186="EN PUERTO",Registro_Contenedores!J186-TODAY()&lt;=3,Registro_Contenedores!J186&gt;=TODAY()),"⚠️ ALERTA CAS",""))</f>
        <v/>
      </c>
      <c r="G190" s="1" t="e">
        <f t="shared" ca="1" si="5"/>
        <v>#NAME?</v>
      </c>
      <c r="H190" s="1" t="e">
        <f ca="1">IF(A190="","",_xludf.TEXTJOIN(" | ",TRUE,B190,C190,D190,E190,F190))</f>
        <v>#NAME?</v>
      </c>
    </row>
    <row r="191" spans="1:8" x14ac:dyDescent="0.35">
      <c r="A191" s="1">
        <f>Registro_Contenedores!A187</f>
        <v>0</v>
      </c>
      <c r="B191" s="1" t="e">
        <f ca="1">IF(A191="","",_xludf.TEXTJOIN(" | ",TRUE,IF(Registro_Contenedores!J187="","Falta Fecha_CAS",""),IF(Registro_Contenedores!K187="","Falta Deposito_Vacio","")))</f>
        <v>#NAME?</v>
      </c>
      <c r="C191" s="1" t="e">
        <f ca="1">IF(A191="","",_xludf.TEXTJOIN(" | ",TRUE,IF(Planif_Grupasa!G187="","Falta Plan_Llegada_Grupasa",""),IF(Planif_Grupasa!H187="","Falta Bodega",""),IF(Planif_Grupasa!I187="","Falta Hora_Descarga","")))</f>
        <v>#NAME?</v>
      </c>
      <c r="D191" s="1" t="e">
        <f ca="1">IF(A191="","",_xludf.TEXTJOIN(" | ",TRUE,IF(Planif_Galagans!H187="","Falta Plan_Llegada_Patio",""),IF(Planif_Galagans!I187="","Falta Plan_Devolucion_Vacio","")))</f>
        <v>#NAME?</v>
      </c>
      <c r="E191" s="1" t="e">
        <f ca="1">IF(A191="","",_xludf.TEXTJOIN(" | ",TRUE,IF(Status_Operativo!J187="","Falta Status_Actual",""),IF(AND(Status_Operativo!J187="ENTREGADO",Status_Operativo!K187=""),"Falta Horario_Entrega_Real",""),IF(AND(Status_Operativo!J187&lt;&gt;"ENTREGADO",Status_Operativo!K187&lt;&gt;""),"Horario_Entrega_Real solo aplica con status ENTREGADO","")))</f>
        <v>#NAME?</v>
      </c>
      <c r="F191" s="1" t="str">
        <f ca="1">IF(A191="","",IF(AND(Status_Operativo!J187="EN PUERTO",Registro_Contenedores!J187-TODAY()&lt;=3,Registro_Contenedores!J187&gt;=TODAY()),"⚠️ ALERTA CAS",""))</f>
        <v/>
      </c>
      <c r="G191" s="1" t="e">
        <f t="shared" ca="1" si="5"/>
        <v>#NAME?</v>
      </c>
      <c r="H191" s="1" t="e">
        <f ca="1">IF(A191="","",_xludf.TEXTJOIN(" | ",TRUE,B191,C191,D191,E191,F191))</f>
        <v>#NAME?</v>
      </c>
    </row>
    <row r="192" spans="1:8" x14ac:dyDescent="0.35">
      <c r="A192" s="1">
        <f>Registro_Contenedores!A188</f>
        <v>0</v>
      </c>
      <c r="B192" s="1" t="e">
        <f ca="1">IF(A192="","",_xludf.TEXTJOIN(" | ",TRUE,IF(Registro_Contenedores!J188="","Falta Fecha_CAS",""),IF(Registro_Contenedores!K188="","Falta Deposito_Vacio","")))</f>
        <v>#NAME?</v>
      </c>
      <c r="C192" s="1" t="e">
        <f ca="1">IF(A192="","",_xludf.TEXTJOIN(" | ",TRUE,IF(Planif_Grupasa!G188="","Falta Plan_Llegada_Grupasa",""),IF(Planif_Grupasa!H188="","Falta Bodega",""),IF(Planif_Grupasa!I188="","Falta Hora_Descarga","")))</f>
        <v>#NAME?</v>
      </c>
      <c r="D192" s="1" t="e">
        <f ca="1">IF(A192="","",_xludf.TEXTJOIN(" | ",TRUE,IF(Planif_Galagans!H188="","Falta Plan_Llegada_Patio",""),IF(Planif_Galagans!I188="","Falta Plan_Devolucion_Vacio","")))</f>
        <v>#NAME?</v>
      </c>
      <c r="E192" s="1" t="e">
        <f ca="1">IF(A192="","",_xludf.TEXTJOIN(" | ",TRUE,IF(Status_Operativo!J188="","Falta Status_Actual",""),IF(AND(Status_Operativo!J188="ENTREGADO",Status_Operativo!K188=""),"Falta Horario_Entrega_Real",""),IF(AND(Status_Operativo!J188&lt;&gt;"ENTREGADO",Status_Operativo!K188&lt;&gt;""),"Horario_Entrega_Real solo aplica con status ENTREGADO","")))</f>
        <v>#NAME?</v>
      </c>
      <c r="F192" s="1" t="str">
        <f ca="1">IF(A192="","",IF(AND(Status_Operativo!J188="EN PUERTO",Registro_Contenedores!J188-TODAY()&lt;=3,Registro_Contenedores!J188&gt;=TODAY()),"⚠️ ALERTA CAS",""))</f>
        <v/>
      </c>
      <c r="G192" s="1" t="e">
        <f t="shared" ca="1" si="5"/>
        <v>#NAME?</v>
      </c>
      <c r="H192" s="1" t="e">
        <f ca="1">IF(A192="","",_xludf.TEXTJOIN(" | ",TRUE,B192,C192,D192,E192,F192))</f>
        <v>#NAME?</v>
      </c>
    </row>
    <row r="193" spans="1:8" x14ac:dyDescent="0.35">
      <c r="A193" s="1">
        <f>Registro_Contenedores!A189</f>
        <v>0</v>
      </c>
      <c r="B193" s="1" t="e">
        <f ca="1">IF(A193="","",_xludf.TEXTJOIN(" | ",TRUE,IF(Registro_Contenedores!J189="","Falta Fecha_CAS",""),IF(Registro_Contenedores!K189="","Falta Deposito_Vacio","")))</f>
        <v>#NAME?</v>
      </c>
      <c r="C193" s="1" t="e">
        <f ca="1">IF(A193="","",_xludf.TEXTJOIN(" | ",TRUE,IF(Planif_Grupasa!G189="","Falta Plan_Llegada_Grupasa",""),IF(Planif_Grupasa!H189="","Falta Bodega",""),IF(Planif_Grupasa!I189="","Falta Hora_Descarga","")))</f>
        <v>#NAME?</v>
      </c>
      <c r="D193" s="1" t="e">
        <f ca="1">IF(A193="","",_xludf.TEXTJOIN(" | ",TRUE,IF(Planif_Galagans!H189="","Falta Plan_Llegada_Patio",""),IF(Planif_Galagans!I189="","Falta Plan_Devolucion_Vacio","")))</f>
        <v>#NAME?</v>
      </c>
      <c r="E193" s="1" t="e">
        <f ca="1">IF(A193="","",_xludf.TEXTJOIN(" | ",TRUE,IF(Status_Operativo!J189="","Falta Status_Actual",""),IF(AND(Status_Operativo!J189="ENTREGADO",Status_Operativo!K189=""),"Falta Horario_Entrega_Real",""),IF(AND(Status_Operativo!J189&lt;&gt;"ENTREGADO",Status_Operativo!K189&lt;&gt;""),"Horario_Entrega_Real solo aplica con status ENTREGADO","")))</f>
        <v>#NAME?</v>
      </c>
      <c r="F193" s="1" t="str">
        <f ca="1">IF(A193="","",IF(AND(Status_Operativo!J189="EN PUERTO",Registro_Contenedores!J189-TODAY()&lt;=3,Registro_Contenedores!J189&gt;=TODAY()),"⚠️ ALERTA CAS",""))</f>
        <v/>
      </c>
      <c r="G193" s="1" t="e">
        <f t="shared" ca="1" si="5"/>
        <v>#NAME?</v>
      </c>
      <c r="H193" s="1" t="e">
        <f ca="1">IF(A193="","",_xludf.TEXTJOIN(" | ",TRUE,B193,C193,D193,E193,F193))</f>
        <v>#NAME?</v>
      </c>
    </row>
    <row r="194" spans="1:8" x14ac:dyDescent="0.35">
      <c r="A194" s="1">
        <f>Registro_Contenedores!A190</f>
        <v>0</v>
      </c>
      <c r="B194" s="1" t="e">
        <f ca="1">IF(A194="","",_xludf.TEXTJOIN(" | ",TRUE,IF(Registro_Contenedores!J190="","Falta Fecha_CAS",""),IF(Registro_Contenedores!K190="","Falta Deposito_Vacio","")))</f>
        <v>#NAME?</v>
      </c>
      <c r="C194" s="1" t="e">
        <f ca="1">IF(A194="","",_xludf.TEXTJOIN(" | ",TRUE,IF(Planif_Grupasa!G190="","Falta Plan_Llegada_Grupasa",""),IF(Planif_Grupasa!H190="","Falta Bodega",""),IF(Planif_Grupasa!I190="","Falta Hora_Descarga","")))</f>
        <v>#NAME?</v>
      </c>
      <c r="D194" s="1" t="e">
        <f ca="1">IF(A194="","",_xludf.TEXTJOIN(" | ",TRUE,IF(Planif_Galagans!H190="","Falta Plan_Llegada_Patio",""),IF(Planif_Galagans!I190="","Falta Plan_Devolucion_Vacio","")))</f>
        <v>#NAME?</v>
      </c>
      <c r="E194" s="1" t="e">
        <f ca="1">IF(A194="","",_xludf.TEXTJOIN(" | ",TRUE,IF(Status_Operativo!J190="","Falta Status_Actual",""),IF(AND(Status_Operativo!J190="ENTREGADO",Status_Operativo!K190=""),"Falta Horario_Entrega_Real",""),IF(AND(Status_Operativo!J190&lt;&gt;"ENTREGADO",Status_Operativo!K190&lt;&gt;""),"Horario_Entrega_Real solo aplica con status ENTREGADO","")))</f>
        <v>#NAME?</v>
      </c>
      <c r="F194" s="1" t="str">
        <f ca="1">IF(A194="","",IF(AND(Status_Operativo!J190="EN PUERTO",Registro_Contenedores!J190-TODAY()&lt;=3,Registro_Contenedores!J190&gt;=TODAY()),"⚠️ ALERTA CAS",""))</f>
        <v/>
      </c>
      <c r="G194" s="1" t="e">
        <f t="shared" ca="1" si="5"/>
        <v>#NAME?</v>
      </c>
      <c r="H194" s="1" t="e">
        <f ca="1">IF(A194="","",_xludf.TEXTJOIN(" | ",TRUE,B194,C194,D194,E194,F194))</f>
        <v>#NAME?</v>
      </c>
    </row>
    <row r="195" spans="1:8" x14ac:dyDescent="0.35">
      <c r="A195" s="1">
        <f>Registro_Contenedores!A191</f>
        <v>0</v>
      </c>
      <c r="B195" s="1" t="e">
        <f ca="1">IF(A195="","",_xludf.TEXTJOIN(" | ",TRUE,IF(Registro_Contenedores!J191="","Falta Fecha_CAS",""),IF(Registro_Contenedores!K191="","Falta Deposito_Vacio","")))</f>
        <v>#NAME?</v>
      </c>
      <c r="C195" s="1" t="e">
        <f ca="1">IF(A195="","",_xludf.TEXTJOIN(" | ",TRUE,IF(Planif_Grupasa!G191="","Falta Plan_Llegada_Grupasa",""),IF(Planif_Grupasa!H191="","Falta Bodega",""),IF(Planif_Grupasa!I191="","Falta Hora_Descarga","")))</f>
        <v>#NAME?</v>
      </c>
      <c r="D195" s="1" t="e">
        <f ca="1">IF(A195="","",_xludf.TEXTJOIN(" | ",TRUE,IF(Planif_Galagans!H191="","Falta Plan_Llegada_Patio",""),IF(Planif_Galagans!I191="","Falta Plan_Devolucion_Vacio","")))</f>
        <v>#NAME?</v>
      </c>
      <c r="E195" s="1" t="e">
        <f ca="1">IF(A195="","",_xludf.TEXTJOIN(" | ",TRUE,IF(Status_Operativo!J191="","Falta Status_Actual",""),IF(AND(Status_Operativo!J191="ENTREGADO",Status_Operativo!K191=""),"Falta Horario_Entrega_Real",""),IF(AND(Status_Operativo!J191&lt;&gt;"ENTREGADO",Status_Operativo!K191&lt;&gt;""),"Horario_Entrega_Real solo aplica con status ENTREGADO","")))</f>
        <v>#NAME?</v>
      </c>
      <c r="F195" s="1" t="str">
        <f ca="1">IF(A195="","",IF(AND(Status_Operativo!J191="EN PUERTO",Registro_Contenedores!J191-TODAY()&lt;=3,Registro_Contenedores!J191&gt;=TODAY()),"⚠️ ALERTA CAS",""))</f>
        <v/>
      </c>
      <c r="G195" s="1" t="e">
        <f t="shared" ca="1" si="5"/>
        <v>#NAME?</v>
      </c>
      <c r="H195" s="1" t="e">
        <f ca="1">IF(A195="","",_xludf.TEXTJOIN(" | ",TRUE,B195,C195,D195,E195,F195))</f>
        <v>#NAME?</v>
      </c>
    </row>
    <row r="196" spans="1:8" x14ac:dyDescent="0.35">
      <c r="A196" s="1">
        <f>Registro_Contenedores!A192</f>
        <v>0</v>
      </c>
      <c r="B196" s="1" t="e">
        <f ca="1">IF(A196="","",_xludf.TEXTJOIN(" | ",TRUE,IF(Registro_Contenedores!J192="","Falta Fecha_CAS",""),IF(Registro_Contenedores!K192="","Falta Deposito_Vacio","")))</f>
        <v>#NAME?</v>
      </c>
      <c r="C196" s="1" t="e">
        <f ca="1">IF(A196="","",_xludf.TEXTJOIN(" | ",TRUE,IF(Planif_Grupasa!G192="","Falta Plan_Llegada_Grupasa",""),IF(Planif_Grupasa!H192="","Falta Bodega",""),IF(Planif_Grupasa!I192="","Falta Hora_Descarga","")))</f>
        <v>#NAME?</v>
      </c>
      <c r="D196" s="1" t="e">
        <f ca="1">IF(A196="","",_xludf.TEXTJOIN(" | ",TRUE,IF(Planif_Galagans!H192="","Falta Plan_Llegada_Patio",""),IF(Planif_Galagans!I192="","Falta Plan_Devolucion_Vacio","")))</f>
        <v>#NAME?</v>
      </c>
      <c r="E196" s="1" t="e">
        <f ca="1">IF(A196="","",_xludf.TEXTJOIN(" | ",TRUE,IF(Status_Operativo!J192="","Falta Status_Actual",""),IF(AND(Status_Operativo!J192="ENTREGADO",Status_Operativo!K192=""),"Falta Horario_Entrega_Real",""),IF(AND(Status_Operativo!J192&lt;&gt;"ENTREGADO",Status_Operativo!K192&lt;&gt;""),"Horario_Entrega_Real solo aplica con status ENTREGADO","")))</f>
        <v>#NAME?</v>
      </c>
      <c r="F196" s="1" t="str">
        <f ca="1">IF(A196="","",IF(AND(Status_Operativo!J192="EN PUERTO",Registro_Contenedores!J192-TODAY()&lt;=3,Registro_Contenedores!J192&gt;=TODAY()),"⚠️ ALERTA CAS",""))</f>
        <v/>
      </c>
      <c r="G196" s="1" t="e">
        <f t="shared" ca="1" si="5"/>
        <v>#NAME?</v>
      </c>
      <c r="H196" s="1" t="e">
        <f ca="1">IF(A196="","",_xludf.TEXTJOIN(" | ",TRUE,B196,C196,D196,E196,F196))</f>
        <v>#NAME?</v>
      </c>
    </row>
    <row r="197" spans="1:8" x14ac:dyDescent="0.35">
      <c r="A197" s="1">
        <f>Registro_Contenedores!A193</f>
        <v>0</v>
      </c>
      <c r="B197" s="1" t="e">
        <f ca="1">IF(A197="","",_xludf.TEXTJOIN(" | ",TRUE,IF(Registro_Contenedores!J193="","Falta Fecha_CAS",""),IF(Registro_Contenedores!K193="","Falta Deposito_Vacio","")))</f>
        <v>#NAME?</v>
      </c>
      <c r="C197" s="1" t="e">
        <f ca="1">IF(A197="","",_xludf.TEXTJOIN(" | ",TRUE,IF(Planif_Grupasa!G193="","Falta Plan_Llegada_Grupasa",""),IF(Planif_Grupasa!H193="","Falta Bodega",""),IF(Planif_Grupasa!I193="","Falta Hora_Descarga","")))</f>
        <v>#NAME?</v>
      </c>
      <c r="D197" s="1" t="e">
        <f ca="1">IF(A197="","",_xludf.TEXTJOIN(" | ",TRUE,IF(Planif_Galagans!H193="","Falta Plan_Llegada_Patio",""),IF(Planif_Galagans!I193="","Falta Plan_Devolucion_Vacio","")))</f>
        <v>#NAME?</v>
      </c>
      <c r="E197" s="1" t="e">
        <f ca="1">IF(A197="","",_xludf.TEXTJOIN(" | ",TRUE,IF(Status_Operativo!J193="","Falta Status_Actual",""),IF(AND(Status_Operativo!J193="ENTREGADO",Status_Operativo!K193=""),"Falta Horario_Entrega_Real",""),IF(AND(Status_Operativo!J193&lt;&gt;"ENTREGADO",Status_Operativo!K193&lt;&gt;""),"Horario_Entrega_Real solo aplica con status ENTREGADO","")))</f>
        <v>#NAME?</v>
      </c>
      <c r="F197" s="1" t="str">
        <f ca="1">IF(A197="","",IF(AND(Status_Operativo!J193="EN PUERTO",Registro_Contenedores!J193-TODAY()&lt;=3,Registro_Contenedores!J193&gt;=TODAY()),"⚠️ ALERTA CAS",""))</f>
        <v/>
      </c>
      <c r="G197" s="1" t="e">
        <f t="shared" ca="1" si="5"/>
        <v>#NAME?</v>
      </c>
      <c r="H197" s="1" t="e">
        <f ca="1">IF(A197="","",_xludf.TEXTJOIN(" | ",TRUE,B197,C197,D197,E197,F197))</f>
        <v>#NAME?</v>
      </c>
    </row>
    <row r="198" spans="1:8" x14ac:dyDescent="0.35">
      <c r="A198" s="1">
        <f>Registro_Contenedores!A194</f>
        <v>0</v>
      </c>
      <c r="B198" s="1" t="e">
        <f ca="1">IF(A198="","",_xludf.TEXTJOIN(" | ",TRUE,IF(Registro_Contenedores!J194="","Falta Fecha_CAS",""),IF(Registro_Contenedores!K194="","Falta Deposito_Vacio","")))</f>
        <v>#NAME?</v>
      </c>
      <c r="C198" s="1" t="e">
        <f ca="1">IF(A198="","",_xludf.TEXTJOIN(" | ",TRUE,IF(Planif_Grupasa!G194="","Falta Plan_Llegada_Grupasa",""),IF(Planif_Grupasa!H194="","Falta Bodega",""),IF(Planif_Grupasa!I194="","Falta Hora_Descarga","")))</f>
        <v>#NAME?</v>
      </c>
      <c r="D198" s="1" t="e">
        <f ca="1">IF(A198="","",_xludf.TEXTJOIN(" | ",TRUE,IF(Planif_Galagans!H194="","Falta Plan_Llegada_Patio",""),IF(Planif_Galagans!I194="","Falta Plan_Devolucion_Vacio","")))</f>
        <v>#NAME?</v>
      </c>
      <c r="E198" s="1" t="e">
        <f ca="1">IF(A198="","",_xludf.TEXTJOIN(" | ",TRUE,IF(Status_Operativo!J194="","Falta Status_Actual",""),IF(AND(Status_Operativo!J194="ENTREGADO",Status_Operativo!K194=""),"Falta Horario_Entrega_Real",""),IF(AND(Status_Operativo!J194&lt;&gt;"ENTREGADO",Status_Operativo!K194&lt;&gt;""),"Horario_Entrega_Real solo aplica con status ENTREGADO","")))</f>
        <v>#NAME?</v>
      </c>
      <c r="F198" s="1" t="str">
        <f ca="1">IF(A198="","",IF(AND(Status_Operativo!J194="EN PUERTO",Registro_Contenedores!J194-TODAY()&lt;=3,Registro_Contenedores!J194&gt;=TODAY()),"⚠️ ALERTA CAS",""))</f>
        <v/>
      </c>
      <c r="G198" s="1" t="e">
        <f t="shared" ca="1" si="5"/>
        <v>#NAME?</v>
      </c>
      <c r="H198" s="1" t="e">
        <f ca="1">IF(A198="","",_xludf.TEXTJOIN(" | ",TRUE,B198,C198,D198,E198,F198))</f>
        <v>#NAME?</v>
      </c>
    </row>
    <row r="199" spans="1:8" x14ac:dyDescent="0.35">
      <c r="A199" s="1">
        <f>Registro_Contenedores!A195</f>
        <v>0</v>
      </c>
      <c r="B199" s="1" t="e">
        <f ca="1">IF(A199="","",_xludf.TEXTJOIN(" | ",TRUE,IF(Registro_Contenedores!J195="","Falta Fecha_CAS",""),IF(Registro_Contenedores!K195="","Falta Deposito_Vacio","")))</f>
        <v>#NAME?</v>
      </c>
      <c r="C199" s="1" t="e">
        <f ca="1">IF(A199="","",_xludf.TEXTJOIN(" | ",TRUE,IF(Planif_Grupasa!G195="","Falta Plan_Llegada_Grupasa",""),IF(Planif_Grupasa!H195="","Falta Bodega",""),IF(Planif_Grupasa!I195="","Falta Hora_Descarga","")))</f>
        <v>#NAME?</v>
      </c>
      <c r="D199" s="1" t="e">
        <f ca="1">IF(A199="","",_xludf.TEXTJOIN(" | ",TRUE,IF(Planif_Galagans!H195="","Falta Plan_Llegada_Patio",""),IF(Planif_Galagans!I195="","Falta Plan_Devolucion_Vacio","")))</f>
        <v>#NAME?</v>
      </c>
      <c r="E199" s="1" t="e">
        <f ca="1">IF(A199="","",_xludf.TEXTJOIN(" | ",TRUE,IF(Status_Operativo!J195="","Falta Status_Actual",""),IF(AND(Status_Operativo!J195="ENTREGADO",Status_Operativo!K195=""),"Falta Horario_Entrega_Real",""),IF(AND(Status_Operativo!J195&lt;&gt;"ENTREGADO",Status_Operativo!K195&lt;&gt;""),"Horario_Entrega_Real solo aplica con status ENTREGADO","")))</f>
        <v>#NAME?</v>
      </c>
      <c r="F199" s="1" t="str">
        <f ca="1">IF(A199="","",IF(AND(Status_Operativo!J195="EN PUERTO",Registro_Contenedores!J195-TODAY()&lt;=3,Registro_Contenedores!J195&gt;=TODAY()),"⚠️ ALERTA CAS",""))</f>
        <v/>
      </c>
      <c r="G199" s="1" t="e">
        <f t="shared" ca="1" si="5"/>
        <v>#NAME?</v>
      </c>
      <c r="H199" s="1" t="e">
        <f ca="1">IF(A199="","",_xludf.TEXTJOIN(" | ",TRUE,B199,C199,D199,E199,F199))</f>
        <v>#NAME?</v>
      </c>
    </row>
    <row r="200" spans="1:8" x14ac:dyDescent="0.35">
      <c r="A200" s="1">
        <f>Registro_Contenedores!A196</f>
        <v>0</v>
      </c>
      <c r="B200" s="1" t="e">
        <f ca="1">IF(A200="","",_xludf.TEXTJOIN(" | ",TRUE,IF(Registro_Contenedores!J196="","Falta Fecha_CAS",""),IF(Registro_Contenedores!K196="","Falta Deposito_Vacio","")))</f>
        <v>#NAME?</v>
      </c>
      <c r="C200" s="1" t="e">
        <f ca="1">IF(A200="","",_xludf.TEXTJOIN(" | ",TRUE,IF(Planif_Grupasa!G196="","Falta Plan_Llegada_Grupasa",""),IF(Planif_Grupasa!H196="","Falta Bodega",""),IF(Planif_Grupasa!I196="","Falta Hora_Descarga","")))</f>
        <v>#NAME?</v>
      </c>
      <c r="D200" s="1" t="e">
        <f ca="1">IF(A200="","",_xludf.TEXTJOIN(" | ",TRUE,IF(Planif_Galagans!H196="","Falta Plan_Llegada_Patio",""),IF(Planif_Galagans!I196="","Falta Plan_Devolucion_Vacio","")))</f>
        <v>#NAME?</v>
      </c>
      <c r="E200" s="1" t="e">
        <f ca="1">IF(A200="","",_xludf.TEXTJOIN(" | ",TRUE,IF(Status_Operativo!J196="","Falta Status_Actual",""),IF(AND(Status_Operativo!J196="ENTREGADO",Status_Operativo!K196=""),"Falta Horario_Entrega_Real",""),IF(AND(Status_Operativo!J196&lt;&gt;"ENTREGADO",Status_Operativo!K196&lt;&gt;""),"Horario_Entrega_Real solo aplica con status ENTREGADO","")))</f>
        <v>#NAME?</v>
      </c>
      <c r="F200" s="1" t="str">
        <f ca="1">IF(A200="","",IF(AND(Status_Operativo!J196="EN PUERTO",Registro_Contenedores!J196-TODAY()&lt;=3,Registro_Contenedores!J196&gt;=TODAY()),"⚠️ ALERTA CAS",""))</f>
        <v/>
      </c>
      <c r="G200" s="1" t="e">
        <f t="shared" ref="G200:G207" ca="1" si="6">IF(A200="","",IF(LEN(B200&amp;C200&amp;D200&amp;E200)&gt;0,"ERROR","OK"))</f>
        <v>#NAME?</v>
      </c>
      <c r="H200" s="1" t="e">
        <f ca="1">IF(A200="","",_xludf.TEXTJOIN(" | ",TRUE,B200,C200,D200,E200,F200))</f>
        <v>#NAME?</v>
      </c>
    </row>
    <row r="201" spans="1:8" x14ac:dyDescent="0.35">
      <c r="A201" s="1">
        <f>Registro_Contenedores!A197</f>
        <v>0</v>
      </c>
      <c r="B201" s="1" t="e">
        <f ca="1">IF(A201="","",_xludf.TEXTJOIN(" | ",TRUE,IF(Registro_Contenedores!J197="","Falta Fecha_CAS",""),IF(Registro_Contenedores!K197="","Falta Deposito_Vacio","")))</f>
        <v>#NAME?</v>
      </c>
      <c r="C201" s="1" t="e">
        <f ca="1">IF(A201="","",_xludf.TEXTJOIN(" | ",TRUE,IF(Planif_Grupasa!G197="","Falta Plan_Llegada_Grupasa",""),IF(Planif_Grupasa!H197="","Falta Bodega",""),IF(Planif_Grupasa!I197="","Falta Hora_Descarga","")))</f>
        <v>#NAME?</v>
      </c>
      <c r="D201" s="1" t="e">
        <f ca="1">IF(A201="","",_xludf.TEXTJOIN(" | ",TRUE,IF(Planif_Galagans!H197="","Falta Plan_Llegada_Patio",""),IF(Planif_Galagans!I197="","Falta Plan_Devolucion_Vacio","")))</f>
        <v>#NAME?</v>
      </c>
      <c r="E201" s="1" t="e">
        <f ca="1">IF(A201="","",_xludf.TEXTJOIN(" | ",TRUE,IF(Status_Operativo!J197="","Falta Status_Actual",""),IF(AND(Status_Operativo!J197="ENTREGADO",Status_Operativo!K197=""),"Falta Horario_Entrega_Real",""),IF(AND(Status_Operativo!J197&lt;&gt;"ENTREGADO",Status_Operativo!K197&lt;&gt;""),"Horario_Entrega_Real solo aplica con status ENTREGADO","")))</f>
        <v>#NAME?</v>
      </c>
      <c r="F201" s="1" t="str">
        <f ca="1">IF(A201="","",IF(AND(Status_Operativo!J197="EN PUERTO",Registro_Contenedores!J197-TODAY()&lt;=3,Registro_Contenedores!J197&gt;=TODAY()),"⚠️ ALERTA CAS",""))</f>
        <v/>
      </c>
      <c r="G201" s="1" t="e">
        <f t="shared" ca="1" si="6"/>
        <v>#NAME?</v>
      </c>
      <c r="H201" s="1" t="e">
        <f ca="1">IF(A201="","",_xludf.TEXTJOIN(" | ",TRUE,B201,C201,D201,E201,F201))</f>
        <v>#NAME?</v>
      </c>
    </row>
    <row r="202" spans="1:8" x14ac:dyDescent="0.35">
      <c r="A202" s="1">
        <f>Registro_Contenedores!A198</f>
        <v>0</v>
      </c>
      <c r="B202" s="1" t="e">
        <f ca="1">IF(A202="","",_xludf.TEXTJOIN(" | ",TRUE,IF(Registro_Contenedores!J198="","Falta Fecha_CAS",""),IF(Registro_Contenedores!K198="","Falta Deposito_Vacio","")))</f>
        <v>#NAME?</v>
      </c>
      <c r="C202" s="1" t="e">
        <f ca="1">IF(A202="","",_xludf.TEXTJOIN(" | ",TRUE,IF(Planif_Grupasa!G198="","Falta Plan_Llegada_Grupasa",""),IF(Planif_Grupasa!H198="","Falta Bodega",""),IF(Planif_Grupasa!I198="","Falta Hora_Descarga","")))</f>
        <v>#NAME?</v>
      </c>
      <c r="D202" s="1" t="e">
        <f ca="1">IF(A202="","",_xludf.TEXTJOIN(" | ",TRUE,IF(Planif_Galagans!H198="","Falta Plan_Llegada_Patio",""),IF(Planif_Galagans!I198="","Falta Plan_Devolucion_Vacio","")))</f>
        <v>#NAME?</v>
      </c>
      <c r="E202" s="1" t="e">
        <f ca="1">IF(A202="","",_xludf.TEXTJOIN(" | ",TRUE,IF(Status_Operativo!J198="","Falta Status_Actual",""),IF(AND(Status_Operativo!J198="ENTREGADO",Status_Operativo!K198=""),"Falta Horario_Entrega_Real",""),IF(AND(Status_Operativo!J198&lt;&gt;"ENTREGADO",Status_Operativo!K198&lt;&gt;""),"Horario_Entrega_Real solo aplica con status ENTREGADO","")))</f>
        <v>#NAME?</v>
      </c>
      <c r="F202" s="1" t="str">
        <f ca="1">IF(A202="","",IF(AND(Status_Operativo!J198="EN PUERTO",Registro_Contenedores!J198-TODAY()&lt;=3,Registro_Contenedores!J198&gt;=TODAY()),"⚠️ ALERTA CAS",""))</f>
        <v/>
      </c>
      <c r="G202" s="1" t="e">
        <f t="shared" ca="1" si="6"/>
        <v>#NAME?</v>
      </c>
      <c r="H202" s="1" t="e">
        <f ca="1">IF(A202="","",_xludf.TEXTJOIN(" | ",TRUE,B202,C202,D202,E202,F202))</f>
        <v>#NAME?</v>
      </c>
    </row>
    <row r="203" spans="1:8" x14ac:dyDescent="0.35">
      <c r="A203" s="1">
        <f>Registro_Contenedores!A199</f>
        <v>0</v>
      </c>
      <c r="B203" s="1" t="e">
        <f ca="1">IF(A203="","",_xludf.TEXTJOIN(" | ",TRUE,IF(Registro_Contenedores!J199="","Falta Fecha_CAS",""),IF(Registro_Contenedores!K199="","Falta Deposito_Vacio","")))</f>
        <v>#NAME?</v>
      </c>
      <c r="C203" s="1" t="e">
        <f ca="1">IF(A203="","",_xludf.TEXTJOIN(" | ",TRUE,IF(Planif_Grupasa!G199="","Falta Plan_Llegada_Grupasa",""),IF(Planif_Grupasa!H199="","Falta Bodega",""),IF(Planif_Grupasa!I199="","Falta Hora_Descarga","")))</f>
        <v>#NAME?</v>
      </c>
      <c r="D203" s="1" t="e">
        <f ca="1">IF(A203="","",_xludf.TEXTJOIN(" | ",TRUE,IF(Planif_Galagans!H199="","Falta Plan_Llegada_Patio",""),IF(Planif_Galagans!I199="","Falta Plan_Devolucion_Vacio","")))</f>
        <v>#NAME?</v>
      </c>
      <c r="E203" s="1" t="e">
        <f ca="1">IF(A203="","",_xludf.TEXTJOIN(" | ",TRUE,IF(Status_Operativo!J199="","Falta Status_Actual",""),IF(AND(Status_Operativo!J199="ENTREGADO",Status_Operativo!K199=""),"Falta Horario_Entrega_Real",""),IF(AND(Status_Operativo!J199&lt;&gt;"ENTREGADO",Status_Operativo!K199&lt;&gt;""),"Horario_Entrega_Real solo aplica con status ENTREGADO","")))</f>
        <v>#NAME?</v>
      </c>
      <c r="F203" s="1" t="str">
        <f ca="1">IF(A203="","",IF(AND(Status_Operativo!J199="EN PUERTO",Registro_Contenedores!J199-TODAY()&lt;=3,Registro_Contenedores!J199&gt;=TODAY()),"⚠️ ALERTA CAS",""))</f>
        <v/>
      </c>
      <c r="G203" s="1" t="e">
        <f t="shared" ca="1" si="6"/>
        <v>#NAME?</v>
      </c>
      <c r="H203" s="1" t="e">
        <f ca="1">IF(A203="","",_xludf.TEXTJOIN(" | ",TRUE,B203,C203,D203,E203,F203))</f>
        <v>#NAME?</v>
      </c>
    </row>
    <row r="204" spans="1:8" x14ac:dyDescent="0.35">
      <c r="A204" s="1">
        <f>Registro_Contenedores!A200</f>
        <v>0</v>
      </c>
      <c r="B204" s="1" t="e">
        <f ca="1">IF(A204="","",_xludf.TEXTJOIN(" | ",TRUE,IF(Registro_Contenedores!J200="","Falta Fecha_CAS",""),IF(Registro_Contenedores!K200="","Falta Deposito_Vacio","")))</f>
        <v>#NAME?</v>
      </c>
      <c r="C204" s="1" t="e">
        <f ca="1">IF(A204="","",_xludf.TEXTJOIN(" | ",TRUE,IF(Planif_Grupasa!G200="","Falta Plan_Llegada_Grupasa",""),IF(Planif_Grupasa!H200="","Falta Bodega",""),IF(Planif_Grupasa!I200="","Falta Hora_Descarga","")))</f>
        <v>#NAME?</v>
      </c>
      <c r="D204" s="1" t="e">
        <f ca="1">IF(A204="","",_xludf.TEXTJOIN(" | ",TRUE,IF(Planif_Galagans!H200="","Falta Plan_Llegada_Patio",""),IF(Planif_Galagans!I200="","Falta Plan_Devolucion_Vacio","")))</f>
        <v>#NAME?</v>
      </c>
      <c r="E204" s="1" t="e">
        <f ca="1">IF(A204="","",_xludf.TEXTJOIN(" | ",TRUE,IF(Status_Operativo!J200="","Falta Status_Actual",""),IF(AND(Status_Operativo!J200="ENTREGADO",Status_Operativo!K200=""),"Falta Horario_Entrega_Real",""),IF(AND(Status_Operativo!J200&lt;&gt;"ENTREGADO",Status_Operativo!K200&lt;&gt;""),"Horario_Entrega_Real solo aplica con status ENTREGADO","")))</f>
        <v>#NAME?</v>
      </c>
      <c r="F204" s="1" t="str">
        <f ca="1">IF(A204="","",IF(AND(Status_Operativo!J200="EN PUERTO",Registro_Contenedores!J200-TODAY()&lt;=3,Registro_Contenedores!J200&gt;=TODAY()),"⚠️ ALERTA CAS",""))</f>
        <v/>
      </c>
      <c r="G204" s="1" t="e">
        <f t="shared" ca="1" si="6"/>
        <v>#NAME?</v>
      </c>
      <c r="H204" s="1" t="e">
        <f ca="1">IF(A204="","",_xludf.TEXTJOIN(" | ",TRUE,B204,C204,D204,E204,F204))</f>
        <v>#NAME?</v>
      </c>
    </row>
    <row r="205" spans="1:8" x14ac:dyDescent="0.35">
      <c r="A205" s="1">
        <f>Registro_Contenedores!A201</f>
        <v>0</v>
      </c>
      <c r="B205" s="1" t="e">
        <f ca="1">IF(A205="","",_xludf.TEXTJOIN(" | ",TRUE,IF(Registro_Contenedores!J201="","Falta Fecha_CAS",""),IF(Registro_Contenedores!K201="","Falta Deposito_Vacio","")))</f>
        <v>#NAME?</v>
      </c>
      <c r="C205" s="1" t="e">
        <f ca="1">IF(A205="","",_xludf.TEXTJOIN(" | ",TRUE,IF(Planif_Grupasa!G201="","Falta Plan_Llegada_Grupasa",""),IF(Planif_Grupasa!H201="","Falta Bodega",""),IF(Planif_Grupasa!I201="","Falta Hora_Descarga","")))</f>
        <v>#NAME?</v>
      </c>
      <c r="D205" s="1" t="e">
        <f ca="1">IF(A205="","",_xludf.TEXTJOIN(" | ",TRUE,IF(Planif_Galagans!H201="","Falta Plan_Llegada_Patio",""),IF(Planif_Galagans!I201="","Falta Plan_Devolucion_Vacio","")))</f>
        <v>#NAME?</v>
      </c>
      <c r="E205" s="1" t="e">
        <f ca="1">IF(A205="","",_xludf.TEXTJOIN(" | ",TRUE,IF(Status_Operativo!J201="","Falta Status_Actual",""),IF(AND(Status_Operativo!J201="ENTREGADO",Status_Operativo!K201=""),"Falta Horario_Entrega_Real",""),IF(AND(Status_Operativo!J201&lt;&gt;"ENTREGADO",Status_Operativo!K201&lt;&gt;""),"Horario_Entrega_Real solo aplica con status ENTREGADO","")))</f>
        <v>#NAME?</v>
      </c>
      <c r="F205" s="1" t="str">
        <f ca="1">IF(A205="","",IF(AND(Status_Operativo!J201="EN PUERTO",Registro_Contenedores!J201-TODAY()&lt;=3,Registro_Contenedores!J201&gt;=TODAY()),"⚠️ ALERTA CAS",""))</f>
        <v/>
      </c>
      <c r="G205" s="1" t="e">
        <f t="shared" ca="1" si="6"/>
        <v>#NAME?</v>
      </c>
      <c r="H205" s="1" t="e">
        <f ca="1">IF(A205="","",_xludf.TEXTJOIN(" | ",TRUE,B205,C205,D205,E205,F205))</f>
        <v>#NAME?</v>
      </c>
    </row>
    <row r="206" spans="1:8" x14ac:dyDescent="0.35">
      <c r="A206" s="1">
        <f>Registro_Contenedores!A202</f>
        <v>0</v>
      </c>
      <c r="B206" s="1" t="e">
        <f ca="1">IF(A206="","",_xludf.TEXTJOIN(" | ",TRUE,IF(Registro_Contenedores!J202="","Falta Fecha_CAS",""),IF(Registro_Contenedores!K202="","Falta Deposito_Vacio","")))</f>
        <v>#NAME?</v>
      </c>
      <c r="C206" s="1" t="e">
        <f ca="1">IF(A206="","",_xludf.TEXTJOIN(" | ",TRUE,IF(Planif_Grupasa!G202="","Falta Plan_Llegada_Grupasa",""),IF(Planif_Grupasa!H202="","Falta Bodega",""),IF(Planif_Grupasa!I202="","Falta Hora_Descarga","")))</f>
        <v>#NAME?</v>
      </c>
      <c r="D206" s="1" t="e">
        <f ca="1">IF(A206="","",_xludf.TEXTJOIN(" | ",TRUE,IF(Planif_Galagans!H202="","Falta Plan_Llegada_Patio",""),IF(Planif_Galagans!I202="","Falta Plan_Devolucion_Vacio","")))</f>
        <v>#NAME?</v>
      </c>
      <c r="E206" s="1" t="e">
        <f ca="1">IF(A206="","",_xludf.TEXTJOIN(" | ",TRUE,IF(Status_Operativo!J202="","Falta Status_Actual",""),IF(AND(Status_Operativo!J202="ENTREGADO",Status_Operativo!K202=""),"Falta Horario_Entrega_Real",""),IF(AND(Status_Operativo!J202&lt;&gt;"ENTREGADO",Status_Operativo!K202&lt;&gt;""),"Horario_Entrega_Real solo aplica con status ENTREGADO","")))</f>
        <v>#NAME?</v>
      </c>
      <c r="F206" s="1" t="str">
        <f ca="1">IF(A206="","",IF(AND(Status_Operativo!J202="EN PUERTO",Registro_Contenedores!J202-TODAY()&lt;=3,Registro_Contenedores!J202&gt;=TODAY()),"⚠️ ALERTA CAS",""))</f>
        <v/>
      </c>
      <c r="G206" s="1" t="e">
        <f t="shared" ca="1" si="6"/>
        <v>#NAME?</v>
      </c>
      <c r="H206" s="1" t="e">
        <f ca="1">IF(A206="","",_xludf.TEXTJOIN(" | ",TRUE,B206,C206,D206,E206,F206))</f>
        <v>#NAME?</v>
      </c>
    </row>
    <row r="207" spans="1:8" x14ac:dyDescent="0.35">
      <c r="A207" s="1">
        <f>Registro_Contenedores!A203</f>
        <v>0</v>
      </c>
      <c r="B207" s="1" t="e">
        <f ca="1">IF(A207="","",_xludf.TEXTJOIN(" | ",TRUE,IF(Registro_Contenedores!J203="","Falta Fecha_CAS",""),IF(Registro_Contenedores!K203="","Falta Deposito_Vacio","")))</f>
        <v>#NAME?</v>
      </c>
      <c r="C207" s="1" t="e">
        <f ca="1">IF(A207="","",_xludf.TEXTJOIN(" | ",TRUE,IF(Planif_Grupasa!G203="","Falta Plan_Llegada_Grupasa",""),IF(Planif_Grupasa!H203="","Falta Bodega",""),IF(Planif_Grupasa!I203="","Falta Hora_Descarga","")))</f>
        <v>#NAME?</v>
      </c>
      <c r="D207" s="1" t="e">
        <f ca="1">IF(A207="","",_xludf.TEXTJOIN(" | ",TRUE,IF(Planif_Galagans!H203="","Falta Plan_Llegada_Patio",""),IF(Planif_Galagans!I203="","Falta Plan_Devolucion_Vacio","")))</f>
        <v>#NAME?</v>
      </c>
      <c r="E207" s="1" t="e">
        <f ca="1">IF(A207="","",_xludf.TEXTJOIN(" | ",TRUE,IF(Status_Operativo!J203="","Falta Status_Actual",""),IF(AND(Status_Operativo!J203="ENTREGADO",Status_Operativo!K203=""),"Falta Horario_Entrega_Real",""),IF(AND(Status_Operativo!J203&lt;&gt;"ENTREGADO",Status_Operativo!K203&lt;&gt;""),"Horario_Entrega_Real solo aplica con status ENTREGADO","")))</f>
        <v>#NAME?</v>
      </c>
      <c r="F207" s="1" t="str">
        <f ca="1">IF(A207="","",IF(AND(Status_Operativo!J203="EN PUERTO",Registro_Contenedores!J203-TODAY()&lt;=3,Registro_Contenedores!J203&gt;=TODAY()),"⚠️ ALERTA CAS",""))</f>
        <v/>
      </c>
      <c r="G207" s="1" t="e">
        <f t="shared" ca="1" si="6"/>
        <v>#NAME?</v>
      </c>
      <c r="H207" s="1" t="e">
        <f ca="1">IF(A207="","",_xludf.TEXTJOIN(" | ",TRUE,B207,C207,D207,E207,F207))</f>
        <v>#NAME?</v>
      </c>
    </row>
    <row r="208" spans="1:8" x14ac:dyDescent="0.35">
      <c r="A208" s="1"/>
      <c r="B208" s="1"/>
      <c r="C208" s="1"/>
      <c r="D208" s="1"/>
      <c r="E208" s="1"/>
      <c r="F208" s="1"/>
      <c r="G208" s="1"/>
      <c r="H208" s="1"/>
    </row>
    <row r="209" spans="1:8" x14ac:dyDescent="0.35">
      <c r="A209" s="1"/>
      <c r="B209" s="1"/>
      <c r="C209" s="1"/>
      <c r="D209" s="1"/>
      <c r="E209" s="1"/>
      <c r="F209" s="1"/>
      <c r="G209" s="1"/>
      <c r="H209" s="1"/>
    </row>
    <row r="210" spans="1:8" x14ac:dyDescent="0.35">
      <c r="A210" s="1"/>
      <c r="B210" s="1"/>
      <c r="C210" s="1"/>
      <c r="D210" s="1"/>
      <c r="E210" s="1"/>
      <c r="F210" s="1"/>
      <c r="G210" s="1"/>
      <c r="H210" s="1"/>
    </row>
    <row r="211" spans="1:8" x14ac:dyDescent="0.35">
      <c r="A211" s="1"/>
      <c r="B211" s="1"/>
      <c r="C211" s="1"/>
      <c r="D211" s="1"/>
      <c r="E211" s="1"/>
      <c r="F211" s="1"/>
      <c r="G211" s="1"/>
      <c r="H211" s="1"/>
    </row>
    <row r="212" spans="1:8" x14ac:dyDescent="0.35">
      <c r="A212" s="1"/>
      <c r="B212" s="1"/>
      <c r="C212" s="1"/>
      <c r="D212" s="1"/>
      <c r="E212" s="1"/>
      <c r="F212" s="1"/>
      <c r="G212" s="1"/>
      <c r="H212" s="1"/>
    </row>
    <row r="213" spans="1:8" x14ac:dyDescent="0.35">
      <c r="A213" s="1"/>
      <c r="B213" s="1"/>
      <c r="C213" s="1"/>
      <c r="D213" s="1"/>
      <c r="E213" s="1"/>
      <c r="F213" s="1"/>
      <c r="G213" s="1"/>
      <c r="H213" s="1"/>
    </row>
    <row r="214" spans="1:8" x14ac:dyDescent="0.35">
      <c r="A214" s="1"/>
      <c r="B214" s="1"/>
      <c r="C214" s="1"/>
      <c r="D214" s="1"/>
      <c r="E214" s="1"/>
      <c r="F214" s="1"/>
      <c r="G214" s="1"/>
      <c r="H214" s="1"/>
    </row>
    <row r="215" spans="1:8" x14ac:dyDescent="0.35">
      <c r="A215" s="1"/>
      <c r="B215" s="1"/>
      <c r="C215" s="1"/>
      <c r="D215" s="1"/>
      <c r="E215" s="1"/>
      <c r="F215" s="1"/>
      <c r="G215" s="1"/>
      <c r="H215" s="1"/>
    </row>
    <row r="216" spans="1:8" x14ac:dyDescent="0.35">
      <c r="A216" s="1"/>
      <c r="B216" s="1"/>
      <c r="C216" s="1"/>
      <c r="D216" s="1"/>
      <c r="E216" s="1"/>
      <c r="F216" s="1"/>
      <c r="G216" s="1"/>
      <c r="H216" s="1"/>
    </row>
    <row r="217" spans="1:8" x14ac:dyDescent="0.35">
      <c r="A217" s="1"/>
      <c r="B217" s="1"/>
      <c r="C217" s="1"/>
      <c r="D217" s="1"/>
      <c r="E217" s="1"/>
      <c r="F217" s="1"/>
      <c r="G217" s="1"/>
      <c r="H217" s="1"/>
    </row>
    <row r="218" spans="1:8" x14ac:dyDescent="0.35">
      <c r="A218" s="1"/>
      <c r="B218" s="1"/>
      <c r="C218" s="1"/>
      <c r="D218" s="1"/>
      <c r="E218" s="1"/>
      <c r="F218" s="1"/>
      <c r="G218" s="1"/>
      <c r="H218" s="1"/>
    </row>
    <row r="219" spans="1:8" x14ac:dyDescent="0.35">
      <c r="A219" s="1"/>
      <c r="B219" s="1"/>
      <c r="C219" s="1"/>
      <c r="D219" s="1"/>
      <c r="E219" s="1"/>
      <c r="F219" s="1"/>
      <c r="G219" s="1"/>
      <c r="H219" s="1"/>
    </row>
    <row r="220" spans="1:8" x14ac:dyDescent="0.35">
      <c r="A220" s="1"/>
      <c r="B220" s="1"/>
      <c r="C220" s="1"/>
      <c r="D220" s="1"/>
      <c r="E220" s="1"/>
      <c r="F220" s="1"/>
      <c r="G220" s="1"/>
      <c r="H220" s="1"/>
    </row>
    <row r="221" spans="1:8" x14ac:dyDescent="0.35">
      <c r="A221" s="1"/>
      <c r="B221" s="1"/>
      <c r="C221" s="1"/>
      <c r="D221" s="1"/>
      <c r="E221" s="1"/>
      <c r="F221" s="1"/>
      <c r="G221" s="1"/>
      <c r="H221" s="1"/>
    </row>
    <row r="222" spans="1:8" x14ac:dyDescent="0.35">
      <c r="A222" s="1"/>
      <c r="B222" s="1"/>
      <c r="C222" s="1"/>
      <c r="D222" s="1"/>
      <c r="E222" s="1"/>
      <c r="F222" s="1"/>
      <c r="G222" s="1"/>
      <c r="H222" s="1"/>
    </row>
    <row r="223" spans="1:8" x14ac:dyDescent="0.35">
      <c r="A223" s="1"/>
      <c r="B223" s="1"/>
      <c r="C223" s="1"/>
      <c r="D223" s="1"/>
      <c r="E223" s="1"/>
      <c r="F223" s="1"/>
      <c r="G223" s="1"/>
      <c r="H223" s="1"/>
    </row>
    <row r="224" spans="1:8" x14ac:dyDescent="0.35">
      <c r="A224" s="1"/>
      <c r="B224" s="1"/>
      <c r="C224" s="1"/>
      <c r="D224" s="1"/>
      <c r="E224" s="1"/>
      <c r="F224" s="1"/>
      <c r="G224" s="1"/>
      <c r="H224" s="1"/>
    </row>
    <row r="225" spans="1:8" x14ac:dyDescent="0.35">
      <c r="A225" s="1"/>
      <c r="B225" s="1"/>
      <c r="C225" s="1"/>
      <c r="D225" s="1"/>
      <c r="E225" s="1"/>
      <c r="F225" s="1"/>
      <c r="G225" s="1"/>
      <c r="H225" s="1"/>
    </row>
    <row r="226" spans="1:8" x14ac:dyDescent="0.35">
      <c r="A226" s="1"/>
      <c r="B226" s="1"/>
      <c r="C226" s="1"/>
      <c r="D226" s="1"/>
      <c r="E226" s="1"/>
      <c r="F226" s="1"/>
      <c r="G226" s="1"/>
      <c r="H226" s="1"/>
    </row>
    <row r="227" spans="1:8" x14ac:dyDescent="0.35">
      <c r="A227" s="1"/>
      <c r="B227" s="1"/>
      <c r="C227" s="1"/>
      <c r="D227" s="1"/>
      <c r="E227" s="1"/>
      <c r="F227" s="1"/>
      <c r="G227" s="1"/>
      <c r="H227" s="1"/>
    </row>
    <row r="228" spans="1:8" x14ac:dyDescent="0.35">
      <c r="A228" s="1"/>
      <c r="B228" s="1"/>
      <c r="C228" s="1"/>
      <c r="D228" s="1"/>
      <c r="E228" s="1"/>
      <c r="F228" s="1"/>
      <c r="G228" s="1"/>
      <c r="H228" s="1"/>
    </row>
    <row r="229" spans="1:8" x14ac:dyDescent="0.35">
      <c r="A229" s="1"/>
      <c r="B229" s="1"/>
      <c r="C229" s="1"/>
      <c r="D229" s="1"/>
      <c r="E229" s="1"/>
      <c r="F229" s="1"/>
      <c r="G229" s="1"/>
      <c r="H229" s="1"/>
    </row>
    <row r="230" spans="1:8" x14ac:dyDescent="0.35">
      <c r="A230" s="1"/>
      <c r="B230" s="1"/>
      <c r="C230" s="1"/>
      <c r="D230" s="1"/>
      <c r="E230" s="1"/>
      <c r="F230" s="1"/>
      <c r="G230" s="1"/>
      <c r="H230" s="1"/>
    </row>
    <row r="231" spans="1:8" x14ac:dyDescent="0.35">
      <c r="A231" s="1"/>
      <c r="B231" s="1"/>
      <c r="C231" s="1"/>
      <c r="D231" s="1"/>
      <c r="E231" s="1"/>
      <c r="F231" s="1"/>
      <c r="G231" s="1"/>
      <c r="H231" s="1"/>
    </row>
    <row r="232" spans="1:8" x14ac:dyDescent="0.35">
      <c r="A232" s="1"/>
      <c r="B232" s="1"/>
      <c r="C232" s="1"/>
      <c r="D232" s="1"/>
      <c r="E232" s="1"/>
      <c r="F232" s="1"/>
      <c r="G232" s="1"/>
      <c r="H232" s="1"/>
    </row>
    <row r="233" spans="1:8" x14ac:dyDescent="0.35">
      <c r="A233" s="1"/>
      <c r="B233" s="1"/>
      <c r="C233" s="1"/>
      <c r="D233" s="1"/>
      <c r="E233" s="1"/>
      <c r="F233" s="1"/>
      <c r="G233" s="1"/>
      <c r="H233" s="1"/>
    </row>
    <row r="234" spans="1:8" x14ac:dyDescent="0.35">
      <c r="A234" s="1"/>
      <c r="B234" s="1"/>
      <c r="C234" s="1"/>
      <c r="D234" s="1"/>
      <c r="E234" s="1"/>
      <c r="F234" s="1"/>
      <c r="G234" s="1"/>
      <c r="H234" s="1"/>
    </row>
    <row r="235" spans="1:8" x14ac:dyDescent="0.35">
      <c r="A235" s="1"/>
      <c r="B235" s="1"/>
      <c r="C235" s="1"/>
      <c r="D235" s="1"/>
      <c r="E235" s="1"/>
      <c r="F235" s="1"/>
      <c r="G235" s="1"/>
      <c r="H235" s="1"/>
    </row>
    <row r="236" spans="1:8" x14ac:dyDescent="0.35">
      <c r="A236" s="1"/>
      <c r="B236" s="1"/>
      <c r="C236" s="1"/>
      <c r="D236" s="1"/>
      <c r="E236" s="1"/>
      <c r="F236" s="1"/>
      <c r="G236" s="1"/>
      <c r="H236" s="1"/>
    </row>
    <row r="237" spans="1:8" x14ac:dyDescent="0.35">
      <c r="A237" s="1"/>
      <c r="B237" s="1"/>
      <c r="C237" s="1"/>
      <c r="D237" s="1"/>
      <c r="E237" s="1"/>
      <c r="F237" s="1"/>
      <c r="G237" s="1"/>
      <c r="H237" s="1"/>
    </row>
    <row r="238" spans="1:8" x14ac:dyDescent="0.35">
      <c r="A238" s="1"/>
      <c r="B238" s="1"/>
      <c r="C238" s="1"/>
      <c r="D238" s="1"/>
      <c r="E238" s="1"/>
      <c r="F238" s="1"/>
      <c r="G238" s="1"/>
      <c r="H238" s="1"/>
    </row>
    <row r="239" spans="1:8" x14ac:dyDescent="0.35">
      <c r="A239" s="1"/>
      <c r="B239" s="1"/>
      <c r="C239" s="1"/>
      <c r="D239" s="1"/>
      <c r="E239" s="1"/>
      <c r="F239" s="1"/>
      <c r="G239" s="1"/>
      <c r="H239" s="1"/>
    </row>
    <row r="240" spans="1:8" x14ac:dyDescent="0.35">
      <c r="A240" s="1"/>
      <c r="B240" s="1"/>
      <c r="C240" s="1"/>
      <c r="D240" s="1"/>
      <c r="E240" s="1"/>
      <c r="F240" s="1"/>
      <c r="G240" s="1"/>
      <c r="H240" s="1"/>
    </row>
    <row r="241" spans="1:8" x14ac:dyDescent="0.35">
      <c r="A241" s="1"/>
      <c r="B241" s="1"/>
      <c r="C241" s="1"/>
      <c r="D241" s="1"/>
      <c r="E241" s="1"/>
      <c r="F241" s="1"/>
      <c r="G241" s="1"/>
      <c r="H241" s="1"/>
    </row>
    <row r="242" spans="1:8" x14ac:dyDescent="0.35">
      <c r="A242" s="1"/>
      <c r="B242" s="1"/>
      <c r="C242" s="1"/>
      <c r="D242" s="1"/>
      <c r="E242" s="1"/>
      <c r="F242" s="1"/>
      <c r="G242" s="1"/>
      <c r="H242" s="1"/>
    </row>
    <row r="243" spans="1:8" x14ac:dyDescent="0.35">
      <c r="A243" s="1"/>
      <c r="B243" s="1"/>
      <c r="C243" s="1"/>
      <c r="D243" s="1"/>
      <c r="E243" s="1"/>
      <c r="F243" s="1"/>
      <c r="G243" s="1"/>
      <c r="H243" s="1"/>
    </row>
    <row r="244" spans="1:8" x14ac:dyDescent="0.35">
      <c r="A244" s="1"/>
      <c r="B244" s="1"/>
      <c r="C244" s="1"/>
      <c r="D244" s="1"/>
      <c r="E244" s="1"/>
      <c r="F244" s="1"/>
      <c r="G244" s="1"/>
      <c r="H244" s="1"/>
    </row>
    <row r="245" spans="1:8" x14ac:dyDescent="0.35">
      <c r="A245" s="1"/>
      <c r="B245" s="1"/>
      <c r="C245" s="1"/>
      <c r="D245" s="1"/>
      <c r="E245" s="1"/>
      <c r="F245" s="1"/>
      <c r="G245" s="1"/>
      <c r="H245" s="1"/>
    </row>
    <row r="246" spans="1:8" x14ac:dyDescent="0.35">
      <c r="A246" s="1"/>
      <c r="B246" s="1"/>
      <c r="C246" s="1"/>
      <c r="D246" s="1"/>
      <c r="E246" s="1"/>
      <c r="F246" s="1"/>
      <c r="G246" s="1"/>
      <c r="H246" s="1"/>
    </row>
    <row r="247" spans="1:8" x14ac:dyDescent="0.35">
      <c r="A247" s="1"/>
      <c r="B247" s="1"/>
      <c r="C247" s="1"/>
      <c r="D247" s="1"/>
      <c r="E247" s="1"/>
      <c r="F247" s="1"/>
      <c r="G247" s="1"/>
      <c r="H247" s="1"/>
    </row>
    <row r="248" spans="1:8" x14ac:dyDescent="0.35">
      <c r="A248" s="1"/>
      <c r="B248" s="1"/>
      <c r="C248" s="1"/>
      <c r="D248" s="1"/>
      <c r="E248" s="1"/>
      <c r="F248" s="1"/>
      <c r="G248" s="1"/>
      <c r="H248" s="1"/>
    </row>
    <row r="249" spans="1:8" x14ac:dyDescent="0.35">
      <c r="A249" s="1"/>
      <c r="B249" s="1"/>
      <c r="C249" s="1"/>
      <c r="D249" s="1"/>
      <c r="E249" s="1"/>
      <c r="F249" s="1"/>
      <c r="G249" s="1"/>
      <c r="H249" s="1"/>
    </row>
    <row r="250" spans="1:8" x14ac:dyDescent="0.35">
      <c r="A250" s="1"/>
      <c r="B250" s="1"/>
      <c r="C250" s="1"/>
      <c r="D250" s="1"/>
      <c r="E250" s="1"/>
      <c r="F250" s="1"/>
      <c r="G250" s="1"/>
      <c r="H250" s="1"/>
    </row>
    <row r="251" spans="1:8" x14ac:dyDescent="0.35">
      <c r="A251" s="1"/>
      <c r="B251" s="1"/>
      <c r="C251" s="1"/>
      <c r="D251" s="1"/>
      <c r="E251" s="1"/>
      <c r="F251" s="1"/>
      <c r="G251" s="1"/>
      <c r="H251" s="1"/>
    </row>
    <row r="252" spans="1:8" x14ac:dyDescent="0.35">
      <c r="A252" s="1"/>
      <c r="B252" s="1"/>
      <c r="C252" s="1"/>
      <c r="D252" s="1"/>
      <c r="E252" s="1"/>
      <c r="F252" s="1"/>
      <c r="G252" s="1"/>
      <c r="H252" s="1"/>
    </row>
    <row r="253" spans="1:8" x14ac:dyDescent="0.35">
      <c r="A253" s="1"/>
      <c r="B253" s="1"/>
      <c r="C253" s="1"/>
      <c r="D253" s="1"/>
      <c r="E253" s="1"/>
      <c r="F253" s="1"/>
      <c r="G253" s="1"/>
      <c r="H253" s="1"/>
    </row>
    <row r="254" spans="1:8" x14ac:dyDescent="0.35">
      <c r="A254" s="1"/>
      <c r="B254" s="1"/>
      <c r="C254" s="1"/>
      <c r="D254" s="1"/>
      <c r="E254" s="1"/>
      <c r="F254" s="1"/>
      <c r="G254" s="1"/>
      <c r="H254" s="1"/>
    </row>
    <row r="255" spans="1:8" x14ac:dyDescent="0.35">
      <c r="A255" s="1"/>
      <c r="B255" s="1"/>
      <c r="C255" s="1"/>
      <c r="D255" s="1"/>
      <c r="E255" s="1"/>
      <c r="F255" s="1"/>
      <c r="G255" s="1"/>
      <c r="H255" s="1"/>
    </row>
    <row r="256" spans="1:8" x14ac:dyDescent="0.35">
      <c r="A256" s="1"/>
      <c r="B256" s="1"/>
      <c r="C256" s="1"/>
      <c r="D256" s="1"/>
      <c r="E256" s="1"/>
      <c r="F256" s="1"/>
      <c r="G256" s="1"/>
      <c r="H256" s="1"/>
    </row>
    <row r="257" spans="1:8" x14ac:dyDescent="0.35">
      <c r="A257" s="1"/>
      <c r="B257" s="1"/>
      <c r="C257" s="1"/>
      <c r="D257" s="1"/>
      <c r="E257" s="1"/>
      <c r="F257" s="1"/>
      <c r="G257" s="1"/>
      <c r="H257" s="1"/>
    </row>
    <row r="258" spans="1:8" x14ac:dyDescent="0.35">
      <c r="A258" s="1"/>
      <c r="B258" s="1"/>
      <c r="C258" s="1"/>
      <c r="D258" s="1"/>
      <c r="E258" s="1"/>
      <c r="F258" s="1"/>
      <c r="G258" s="1"/>
      <c r="H258" s="1"/>
    </row>
    <row r="259" spans="1:8" x14ac:dyDescent="0.35">
      <c r="A259" s="1"/>
      <c r="B259" s="1"/>
      <c r="C259" s="1"/>
      <c r="D259" s="1"/>
      <c r="E259" s="1"/>
      <c r="F259" s="1"/>
      <c r="G259" s="1"/>
      <c r="H259" s="1"/>
    </row>
    <row r="260" spans="1:8" x14ac:dyDescent="0.35">
      <c r="A260" s="1"/>
      <c r="B260" s="1"/>
      <c r="C260" s="1"/>
      <c r="D260" s="1"/>
      <c r="E260" s="1"/>
      <c r="F260" s="1"/>
      <c r="G260" s="1"/>
      <c r="H260" s="1"/>
    </row>
    <row r="261" spans="1:8" x14ac:dyDescent="0.35">
      <c r="A261" s="1"/>
      <c r="B261" s="1"/>
      <c r="C261" s="1"/>
      <c r="D261" s="1"/>
      <c r="E261" s="1"/>
      <c r="F261" s="1"/>
      <c r="G261" s="1"/>
      <c r="H261" s="1"/>
    </row>
    <row r="262" spans="1:8" x14ac:dyDescent="0.35">
      <c r="A262" s="1"/>
      <c r="B262" s="1"/>
      <c r="C262" s="1"/>
      <c r="D262" s="1"/>
      <c r="E262" s="1"/>
      <c r="F262" s="1"/>
      <c r="G262" s="1"/>
      <c r="H262" s="1"/>
    </row>
    <row r="263" spans="1:8" x14ac:dyDescent="0.35">
      <c r="A263" s="1"/>
      <c r="B263" s="1"/>
      <c r="C263" s="1"/>
      <c r="D263" s="1"/>
      <c r="E263" s="1"/>
      <c r="F263" s="1"/>
      <c r="G263" s="1"/>
      <c r="H263" s="1"/>
    </row>
    <row r="264" spans="1:8" x14ac:dyDescent="0.35">
      <c r="A264" s="1"/>
      <c r="B264" s="1"/>
      <c r="C264" s="1"/>
      <c r="D264" s="1"/>
      <c r="E264" s="1"/>
      <c r="F264" s="1"/>
      <c r="G264" s="1"/>
      <c r="H264" s="1"/>
    </row>
    <row r="265" spans="1:8" x14ac:dyDescent="0.35">
      <c r="A265" s="1"/>
      <c r="B265" s="1"/>
      <c r="C265" s="1"/>
      <c r="D265" s="1"/>
      <c r="E265" s="1"/>
      <c r="F265" s="1"/>
      <c r="G265" s="1"/>
      <c r="H265" s="1"/>
    </row>
    <row r="266" spans="1:8" x14ac:dyDescent="0.35">
      <c r="A266" s="1"/>
      <c r="B266" s="1"/>
      <c r="C266" s="1"/>
      <c r="D266" s="1"/>
      <c r="E266" s="1"/>
      <c r="F266" s="1"/>
      <c r="G266" s="1"/>
      <c r="H266" s="1"/>
    </row>
    <row r="267" spans="1:8" x14ac:dyDescent="0.35">
      <c r="A267" s="1"/>
      <c r="B267" s="1"/>
      <c r="C267" s="1"/>
      <c r="D267" s="1"/>
      <c r="E267" s="1"/>
      <c r="F267" s="1"/>
      <c r="G267" s="1"/>
      <c r="H267" s="1"/>
    </row>
    <row r="268" spans="1:8" x14ac:dyDescent="0.35">
      <c r="A268" s="1"/>
      <c r="B268" s="1"/>
      <c r="C268" s="1"/>
      <c r="D268" s="1"/>
      <c r="E268" s="1"/>
      <c r="F268" s="1"/>
      <c r="G268" s="1"/>
      <c r="H268" s="1"/>
    </row>
    <row r="269" spans="1:8" x14ac:dyDescent="0.35">
      <c r="A269" s="1"/>
      <c r="B269" s="1"/>
      <c r="C269" s="1"/>
      <c r="D269" s="1"/>
      <c r="E269" s="1"/>
      <c r="F269" s="1"/>
      <c r="G269" s="1"/>
      <c r="H269" s="1"/>
    </row>
    <row r="270" spans="1:8" x14ac:dyDescent="0.35">
      <c r="A270" s="1"/>
      <c r="B270" s="1"/>
      <c r="C270" s="1"/>
      <c r="D270" s="1"/>
      <c r="E270" s="1"/>
      <c r="F270" s="1"/>
      <c r="G270" s="1"/>
      <c r="H270" s="1"/>
    </row>
    <row r="271" spans="1:8" x14ac:dyDescent="0.35">
      <c r="A271" s="1"/>
      <c r="B271" s="1"/>
      <c r="C271" s="1"/>
      <c r="D271" s="1"/>
      <c r="E271" s="1"/>
      <c r="F271" s="1"/>
      <c r="G271" s="1"/>
      <c r="H271" s="1"/>
    </row>
    <row r="272" spans="1:8" x14ac:dyDescent="0.35">
      <c r="A272" s="1"/>
      <c r="B272" s="1"/>
      <c r="C272" s="1"/>
      <c r="D272" s="1"/>
      <c r="E272" s="1"/>
      <c r="F272" s="1"/>
      <c r="G272" s="1"/>
      <c r="H272" s="1"/>
    </row>
    <row r="273" spans="1:8" x14ac:dyDescent="0.35">
      <c r="A273" s="1"/>
      <c r="B273" s="1"/>
      <c r="C273" s="1"/>
      <c r="D273" s="1"/>
      <c r="E273" s="1"/>
      <c r="F273" s="1"/>
      <c r="G273" s="1"/>
      <c r="H273" s="1"/>
    </row>
    <row r="274" spans="1:8" x14ac:dyDescent="0.35">
      <c r="A274" s="1"/>
      <c r="B274" s="1"/>
      <c r="C274" s="1"/>
      <c r="D274" s="1"/>
      <c r="E274" s="1"/>
      <c r="F274" s="1"/>
      <c r="G274" s="1"/>
      <c r="H274" s="1"/>
    </row>
    <row r="275" spans="1:8" x14ac:dyDescent="0.35">
      <c r="A275" s="1"/>
      <c r="B275" s="1"/>
      <c r="C275" s="1"/>
      <c r="D275" s="1"/>
      <c r="E275" s="1"/>
      <c r="F275" s="1"/>
      <c r="G275" s="1"/>
      <c r="H275" s="1"/>
    </row>
    <row r="276" spans="1:8" x14ac:dyDescent="0.35">
      <c r="A276" s="1"/>
      <c r="B276" s="1"/>
      <c r="C276" s="1"/>
      <c r="D276" s="1"/>
      <c r="E276" s="1"/>
      <c r="F276" s="1"/>
      <c r="G276" s="1"/>
      <c r="H276" s="1"/>
    </row>
    <row r="277" spans="1:8" x14ac:dyDescent="0.35">
      <c r="A277" s="1"/>
      <c r="B277" s="1"/>
      <c r="C277" s="1"/>
      <c r="D277" s="1"/>
      <c r="E277" s="1"/>
      <c r="F277" s="1"/>
      <c r="G277" s="1"/>
      <c r="H277" s="1"/>
    </row>
    <row r="278" spans="1:8" x14ac:dyDescent="0.35">
      <c r="A278" s="1"/>
      <c r="B278" s="1"/>
      <c r="C278" s="1"/>
      <c r="D278" s="1"/>
      <c r="E278" s="1"/>
      <c r="F278" s="1"/>
      <c r="G278" s="1"/>
      <c r="H278" s="1"/>
    </row>
    <row r="279" spans="1:8" x14ac:dyDescent="0.35">
      <c r="A279" s="1"/>
      <c r="B279" s="1"/>
      <c r="C279" s="1"/>
      <c r="D279" s="1"/>
      <c r="E279" s="1"/>
      <c r="F279" s="1"/>
      <c r="G279" s="1"/>
      <c r="H279" s="1"/>
    </row>
    <row r="280" spans="1:8" x14ac:dyDescent="0.35">
      <c r="A280" s="1"/>
      <c r="B280" s="1"/>
      <c r="C280" s="1"/>
      <c r="D280" s="1"/>
      <c r="E280" s="1"/>
      <c r="F280" s="1"/>
      <c r="G280" s="1"/>
      <c r="H280" s="1"/>
    </row>
    <row r="281" spans="1:8" x14ac:dyDescent="0.35">
      <c r="A281" s="1"/>
      <c r="B281" s="1"/>
      <c r="C281" s="1"/>
      <c r="D281" s="1"/>
      <c r="E281" s="1"/>
      <c r="F281" s="1"/>
      <c r="G281" s="1"/>
      <c r="H281" s="1"/>
    </row>
    <row r="282" spans="1:8" x14ac:dyDescent="0.35">
      <c r="A282" s="1"/>
      <c r="B282" s="1"/>
      <c r="C282" s="1"/>
      <c r="D282" s="1"/>
      <c r="E282" s="1"/>
      <c r="F282" s="1"/>
      <c r="G282" s="1"/>
      <c r="H282" s="1"/>
    </row>
    <row r="283" spans="1:8" x14ac:dyDescent="0.35">
      <c r="A283" s="1"/>
      <c r="B283" s="1"/>
      <c r="C283" s="1"/>
      <c r="D283" s="1"/>
      <c r="E283" s="1"/>
      <c r="F283" s="1"/>
      <c r="G283" s="1"/>
      <c r="H283" s="1"/>
    </row>
    <row r="284" spans="1:8" x14ac:dyDescent="0.35">
      <c r="A284" s="1"/>
      <c r="B284" s="1"/>
      <c r="C284" s="1"/>
      <c r="D284" s="1"/>
      <c r="E284" s="1"/>
      <c r="F284" s="1"/>
      <c r="G284" s="1"/>
      <c r="H284" s="1"/>
    </row>
    <row r="285" spans="1:8" x14ac:dyDescent="0.35">
      <c r="A285" s="1"/>
      <c r="B285" s="1"/>
      <c r="C285" s="1"/>
      <c r="D285" s="1"/>
      <c r="E285" s="1"/>
      <c r="F285" s="1"/>
      <c r="G285" s="1"/>
      <c r="H285" s="1"/>
    </row>
    <row r="286" spans="1:8" x14ac:dyDescent="0.35">
      <c r="A286" s="1"/>
      <c r="B286" s="1"/>
      <c r="C286" s="1"/>
      <c r="D286" s="1"/>
      <c r="E286" s="1"/>
      <c r="F286" s="1"/>
      <c r="G286" s="1"/>
      <c r="H286" s="1"/>
    </row>
    <row r="287" spans="1:8" x14ac:dyDescent="0.35">
      <c r="A287" s="1"/>
      <c r="B287" s="1"/>
      <c r="C287" s="1"/>
      <c r="D287" s="1"/>
      <c r="E287" s="1"/>
      <c r="F287" s="1"/>
      <c r="G287" s="1"/>
      <c r="H287" s="1"/>
    </row>
    <row r="288" spans="1:8" x14ac:dyDescent="0.35">
      <c r="A288" s="1"/>
      <c r="B288" s="1"/>
      <c r="C288" s="1"/>
      <c r="D288" s="1"/>
      <c r="E288" s="1"/>
      <c r="F288" s="1"/>
      <c r="G288" s="1"/>
      <c r="H288" s="1"/>
    </row>
    <row r="289" spans="1:8" x14ac:dyDescent="0.35">
      <c r="A289" s="1"/>
      <c r="B289" s="1"/>
      <c r="C289" s="1"/>
      <c r="D289" s="1"/>
      <c r="E289" s="1"/>
      <c r="F289" s="1"/>
      <c r="G289" s="1"/>
      <c r="H289" s="1"/>
    </row>
    <row r="290" spans="1:8" x14ac:dyDescent="0.35">
      <c r="A290" s="1"/>
      <c r="B290" s="1"/>
      <c r="C290" s="1"/>
      <c r="D290" s="1"/>
      <c r="E290" s="1"/>
      <c r="F290" s="1"/>
      <c r="G290" s="1"/>
      <c r="H290" s="1"/>
    </row>
    <row r="291" spans="1:8" x14ac:dyDescent="0.35">
      <c r="A291" s="1"/>
      <c r="B291" s="1"/>
      <c r="C291" s="1"/>
      <c r="D291" s="1"/>
      <c r="E291" s="1"/>
      <c r="F291" s="1"/>
      <c r="G291" s="1"/>
      <c r="H291" s="1"/>
    </row>
    <row r="292" spans="1:8" x14ac:dyDescent="0.35">
      <c r="A292" s="1"/>
      <c r="B292" s="1"/>
      <c r="C292" s="1"/>
      <c r="D292" s="1"/>
      <c r="E292" s="1"/>
      <c r="F292" s="1"/>
      <c r="G292" s="1"/>
      <c r="H292" s="1"/>
    </row>
    <row r="293" spans="1:8" x14ac:dyDescent="0.35">
      <c r="A293" s="1"/>
      <c r="B293" s="1"/>
      <c r="C293" s="1"/>
      <c r="D293" s="1"/>
      <c r="E293" s="1"/>
      <c r="F293" s="1"/>
      <c r="G293" s="1"/>
      <c r="H293" s="1"/>
    </row>
    <row r="294" spans="1:8" x14ac:dyDescent="0.35">
      <c r="A294" s="1"/>
      <c r="B294" s="1"/>
      <c r="C294" s="1"/>
      <c r="D294" s="1"/>
      <c r="E294" s="1"/>
      <c r="F294" s="1"/>
      <c r="G294" s="1"/>
      <c r="H294" s="1"/>
    </row>
    <row r="295" spans="1:8" x14ac:dyDescent="0.35">
      <c r="A295" s="1"/>
      <c r="B295" s="1"/>
      <c r="C295" s="1"/>
      <c r="D295" s="1"/>
      <c r="E295" s="1"/>
      <c r="F295" s="1"/>
      <c r="G295" s="1"/>
      <c r="H295" s="1"/>
    </row>
    <row r="296" spans="1:8" x14ac:dyDescent="0.35">
      <c r="A296" s="1"/>
      <c r="B296" s="1"/>
      <c r="C296" s="1"/>
      <c r="D296" s="1"/>
      <c r="E296" s="1"/>
      <c r="F296" s="1"/>
      <c r="G296" s="1"/>
      <c r="H296" s="1"/>
    </row>
    <row r="297" spans="1:8" x14ac:dyDescent="0.35">
      <c r="A297" s="1"/>
      <c r="B297" s="1"/>
      <c r="C297" s="1"/>
      <c r="D297" s="1"/>
      <c r="E297" s="1"/>
      <c r="F297" s="1"/>
      <c r="G297" s="1"/>
      <c r="H297" s="1"/>
    </row>
    <row r="298" spans="1:8" x14ac:dyDescent="0.35">
      <c r="A298" s="1"/>
      <c r="B298" s="1"/>
      <c r="C298" s="1"/>
      <c r="D298" s="1"/>
      <c r="E298" s="1"/>
      <c r="F298" s="1"/>
      <c r="G298" s="1"/>
      <c r="H298" s="1"/>
    </row>
    <row r="299" spans="1:8" x14ac:dyDescent="0.35">
      <c r="A299" s="1"/>
      <c r="B299" s="1"/>
      <c r="C299" s="1"/>
      <c r="D299" s="1"/>
      <c r="E299" s="1"/>
      <c r="F299" s="1"/>
      <c r="G299" s="1"/>
      <c r="H299" s="1"/>
    </row>
    <row r="300" spans="1:8" x14ac:dyDescent="0.35">
      <c r="A300" s="1"/>
      <c r="B300" s="1"/>
      <c r="C300" s="1"/>
      <c r="D300" s="1"/>
      <c r="E300" s="1"/>
      <c r="F300" s="1"/>
      <c r="G300" s="1"/>
      <c r="H300" s="1"/>
    </row>
    <row r="301" spans="1:8" x14ac:dyDescent="0.35">
      <c r="A301" s="1"/>
      <c r="B301" s="1"/>
      <c r="C301" s="1"/>
      <c r="D301" s="1"/>
      <c r="E301" s="1"/>
      <c r="F301" s="1"/>
      <c r="G301" s="1"/>
      <c r="H301" s="1"/>
    </row>
    <row r="302" spans="1:8" x14ac:dyDescent="0.35">
      <c r="A302" s="1"/>
      <c r="B302" s="1"/>
      <c r="C302" s="1"/>
      <c r="D302" s="1"/>
      <c r="E302" s="1"/>
      <c r="F302" s="1"/>
      <c r="G302" s="1"/>
      <c r="H302" s="1"/>
    </row>
    <row r="303" spans="1:8" x14ac:dyDescent="0.35">
      <c r="A303" s="1"/>
      <c r="B303" s="1"/>
      <c r="C303" s="1"/>
      <c r="D303" s="1"/>
      <c r="E303" s="1"/>
      <c r="F303" s="1"/>
      <c r="G303" s="1"/>
      <c r="H303" s="1"/>
    </row>
    <row r="304" spans="1:8" x14ac:dyDescent="0.35">
      <c r="A304" s="1"/>
      <c r="B304" s="1"/>
      <c r="C304" s="1"/>
      <c r="D304" s="1"/>
      <c r="E304" s="1"/>
      <c r="F304" s="1"/>
      <c r="G304" s="1"/>
      <c r="H304" s="1"/>
    </row>
    <row r="305" spans="1:8" x14ac:dyDescent="0.35">
      <c r="A305" s="1"/>
      <c r="B305" s="1"/>
      <c r="C305" s="1"/>
      <c r="D305" s="1"/>
      <c r="E305" s="1"/>
      <c r="F305" s="1"/>
      <c r="G305" s="1"/>
      <c r="H305" s="1"/>
    </row>
    <row r="306" spans="1:8" x14ac:dyDescent="0.35">
      <c r="A306" s="1"/>
      <c r="B306" s="1"/>
      <c r="C306" s="1"/>
      <c r="D306" s="1"/>
      <c r="E306" s="1"/>
      <c r="F306" s="1"/>
      <c r="G306" s="1"/>
      <c r="H306" s="1"/>
    </row>
    <row r="307" spans="1:8" x14ac:dyDescent="0.35">
      <c r="A307" s="1"/>
      <c r="B307" s="1"/>
      <c r="C307" s="1"/>
      <c r="D307" s="1"/>
      <c r="E307" s="1"/>
      <c r="F307" s="1"/>
      <c r="G307" s="1"/>
      <c r="H307" s="1"/>
    </row>
    <row r="308" spans="1:8" x14ac:dyDescent="0.35">
      <c r="A308" s="1"/>
      <c r="B308" s="1"/>
      <c r="C308" s="1"/>
      <c r="D308" s="1"/>
      <c r="E308" s="1"/>
      <c r="F308" s="1"/>
      <c r="G308" s="1"/>
      <c r="H308" s="1"/>
    </row>
    <row r="309" spans="1:8" x14ac:dyDescent="0.35">
      <c r="A309" s="1"/>
      <c r="B309" s="1"/>
      <c r="C309" s="1"/>
      <c r="D309" s="1"/>
      <c r="E309" s="1"/>
      <c r="F309" s="1"/>
      <c r="G309" s="1"/>
      <c r="H309" s="1"/>
    </row>
    <row r="310" spans="1:8" x14ac:dyDescent="0.35">
      <c r="A310" s="1"/>
      <c r="B310" s="1"/>
      <c r="C310" s="1"/>
      <c r="D310" s="1"/>
      <c r="E310" s="1"/>
      <c r="F310" s="1"/>
      <c r="G310" s="1"/>
      <c r="H310" s="1"/>
    </row>
    <row r="311" spans="1:8" x14ac:dyDescent="0.35">
      <c r="A311" s="1"/>
      <c r="B311" s="1"/>
      <c r="C311" s="1"/>
      <c r="D311" s="1"/>
      <c r="E311" s="1"/>
      <c r="F311" s="1"/>
      <c r="G311" s="1"/>
      <c r="H311" s="1"/>
    </row>
    <row r="312" spans="1:8" x14ac:dyDescent="0.35">
      <c r="A312" s="1"/>
      <c r="B312" s="1"/>
      <c r="C312" s="1"/>
      <c r="D312" s="1"/>
      <c r="E312" s="1"/>
      <c r="F312" s="1"/>
      <c r="G312" s="1"/>
      <c r="H312" s="1"/>
    </row>
    <row r="313" spans="1:8" x14ac:dyDescent="0.35">
      <c r="A313" s="1"/>
      <c r="B313" s="1"/>
      <c r="C313" s="1"/>
      <c r="D313" s="1"/>
      <c r="E313" s="1"/>
      <c r="F313" s="1"/>
      <c r="G313" s="1"/>
      <c r="H313" s="1"/>
    </row>
    <row r="314" spans="1:8" x14ac:dyDescent="0.35">
      <c r="A314" s="1"/>
      <c r="B314" s="1"/>
      <c r="C314" s="1"/>
      <c r="D314" s="1"/>
      <c r="E314" s="1"/>
      <c r="F314" s="1"/>
      <c r="G314" s="1"/>
      <c r="H314" s="1"/>
    </row>
    <row r="315" spans="1:8" x14ac:dyDescent="0.35">
      <c r="A315" s="1"/>
      <c r="B315" s="1"/>
      <c r="C315" s="1"/>
      <c r="D315" s="1"/>
      <c r="E315" s="1"/>
      <c r="F315" s="1"/>
      <c r="G315" s="1"/>
      <c r="H315" s="1"/>
    </row>
    <row r="316" spans="1:8" x14ac:dyDescent="0.35">
      <c r="A316" s="1"/>
      <c r="B316" s="1"/>
      <c r="C316" s="1"/>
      <c r="D316" s="1"/>
      <c r="E316" s="1"/>
      <c r="F316" s="1"/>
      <c r="G316" s="1"/>
      <c r="H316" s="1"/>
    </row>
    <row r="317" spans="1:8" x14ac:dyDescent="0.35">
      <c r="A317" s="1"/>
      <c r="B317" s="1"/>
      <c r="C317" s="1"/>
      <c r="D317" s="1"/>
      <c r="E317" s="1"/>
      <c r="F317" s="1"/>
      <c r="G317" s="1"/>
      <c r="H317" s="1"/>
    </row>
    <row r="318" spans="1:8" x14ac:dyDescent="0.35">
      <c r="A318" s="1"/>
      <c r="B318" s="1"/>
      <c r="C318" s="1"/>
      <c r="D318" s="1"/>
      <c r="E318" s="1"/>
      <c r="F318" s="1"/>
      <c r="G318" s="1"/>
      <c r="H318" s="1"/>
    </row>
    <row r="319" spans="1:8" x14ac:dyDescent="0.35">
      <c r="A319" s="1"/>
      <c r="B319" s="1"/>
      <c r="C319" s="1"/>
      <c r="D319" s="1"/>
      <c r="E319" s="1"/>
      <c r="F319" s="1"/>
      <c r="G319" s="1"/>
      <c r="H319" s="1"/>
    </row>
    <row r="320" spans="1:8" x14ac:dyDescent="0.35">
      <c r="A320" s="1"/>
      <c r="B320" s="1"/>
      <c r="C320" s="1"/>
      <c r="D320" s="1"/>
      <c r="E320" s="1"/>
      <c r="F320" s="1"/>
      <c r="G320" s="1"/>
      <c r="H320" s="1"/>
    </row>
    <row r="321" spans="1:8" x14ac:dyDescent="0.35">
      <c r="A321" s="1"/>
      <c r="B321" s="1"/>
      <c r="C321" s="1"/>
      <c r="D321" s="1"/>
      <c r="E321" s="1"/>
      <c r="F321" s="1"/>
      <c r="G321" s="1"/>
      <c r="H321" s="1"/>
    </row>
    <row r="322" spans="1:8" x14ac:dyDescent="0.35">
      <c r="A322" s="1"/>
      <c r="B322" s="1"/>
      <c r="C322" s="1"/>
      <c r="D322" s="1"/>
      <c r="E322" s="1"/>
      <c r="F322" s="1"/>
      <c r="G322" s="1"/>
      <c r="H322" s="1"/>
    </row>
    <row r="323" spans="1:8" x14ac:dyDescent="0.35">
      <c r="A323" s="1"/>
      <c r="B323" s="1"/>
      <c r="C323" s="1"/>
      <c r="D323" s="1"/>
      <c r="E323" s="1"/>
      <c r="F323" s="1"/>
      <c r="G323" s="1"/>
      <c r="H323" s="1"/>
    </row>
    <row r="324" spans="1:8" x14ac:dyDescent="0.35">
      <c r="A324" s="1"/>
      <c r="B324" s="1"/>
      <c r="C324" s="1"/>
      <c r="D324" s="1"/>
      <c r="E324" s="1"/>
      <c r="F324" s="1"/>
      <c r="G324" s="1"/>
      <c r="H324" s="1"/>
    </row>
    <row r="325" spans="1:8" x14ac:dyDescent="0.35">
      <c r="A325" s="1"/>
      <c r="B325" s="1"/>
      <c r="C325" s="1"/>
      <c r="D325" s="1"/>
      <c r="E325" s="1"/>
      <c r="F325" s="1"/>
      <c r="G325" s="1"/>
      <c r="H325" s="1"/>
    </row>
    <row r="326" spans="1:8" x14ac:dyDescent="0.35">
      <c r="A326" s="1"/>
      <c r="B326" s="1"/>
      <c r="C326" s="1"/>
      <c r="D326" s="1"/>
      <c r="E326" s="1"/>
      <c r="F326" s="1"/>
      <c r="G326" s="1"/>
      <c r="H326" s="1"/>
    </row>
    <row r="327" spans="1:8" x14ac:dyDescent="0.35">
      <c r="A327" s="1"/>
      <c r="B327" s="1"/>
      <c r="C327" s="1"/>
      <c r="D327" s="1"/>
      <c r="E327" s="1"/>
      <c r="F327" s="1"/>
      <c r="G327" s="1"/>
      <c r="H327" s="1"/>
    </row>
    <row r="328" spans="1:8" x14ac:dyDescent="0.35">
      <c r="A328" s="1"/>
      <c r="B328" s="1"/>
      <c r="C328" s="1"/>
      <c r="D328" s="1"/>
      <c r="E328" s="1"/>
      <c r="F328" s="1"/>
      <c r="G328" s="1"/>
      <c r="H328" s="1"/>
    </row>
    <row r="329" spans="1:8" x14ac:dyDescent="0.35">
      <c r="A329" s="1"/>
      <c r="B329" s="1"/>
      <c r="C329" s="1"/>
      <c r="D329" s="1"/>
      <c r="E329" s="1"/>
      <c r="F329" s="1"/>
      <c r="G329" s="1"/>
      <c r="H329" s="1"/>
    </row>
    <row r="330" spans="1:8" x14ac:dyDescent="0.35">
      <c r="A330" s="1"/>
      <c r="B330" s="1"/>
      <c r="C330" s="1"/>
      <c r="D330" s="1"/>
      <c r="E330" s="1"/>
      <c r="F330" s="1"/>
      <c r="G330" s="1"/>
      <c r="H330" s="1"/>
    </row>
    <row r="331" spans="1:8" x14ac:dyDescent="0.35">
      <c r="A331" s="1"/>
      <c r="B331" s="1"/>
      <c r="C331" s="1"/>
      <c r="D331" s="1"/>
      <c r="E331" s="1"/>
      <c r="F331" s="1"/>
      <c r="G331" s="1"/>
      <c r="H331" s="1"/>
    </row>
    <row r="332" spans="1:8" x14ac:dyDescent="0.35">
      <c r="A332" s="1"/>
      <c r="B332" s="1"/>
      <c r="C332" s="1"/>
      <c r="D332" s="1"/>
      <c r="E332" s="1"/>
      <c r="F332" s="1"/>
      <c r="G332" s="1"/>
      <c r="H332" s="1"/>
    </row>
    <row r="333" spans="1:8" x14ac:dyDescent="0.35">
      <c r="A333" s="1"/>
      <c r="B333" s="1"/>
      <c r="C333" s="1"/>
      <c r="D333" s="1"/>
      <c r="E333" s="1"/>
      <c r="F333" s="1"/>
      <c r="G333" s="1"/>
      <c r="H333" s="1"/>
    </row>
    <row r="334" spans="1:8" x14ac:dyDescent="0.35">
      <c r="A334" s="1"/>
      <c r="B334" s="1"/>
      <c r="C334" s="1"/>
      <c r="D334" s="1"/>
      <c r="E334" s="1"/>
      <c r="F334" s="1"/>
      <c r="G334" s="1"/>
      <c r="H334" s="1"/>
    </row>
    <row r="335" spans="1:8" x14ac:dyDescent="0.35">
      <c r="A335" s="1"/>
      <c r="B335" s="1"/>
      <c r="C335" s="1"/>
      <c r="D335" s="1"/>
      <c r="E335" s="1"/>
      <c r="F335" s="1"/>
      <c r="G335" s="1"/>
      <c r="H335" s="1"/>
    </row>
    <row r="336" spans="1:8" x14ac:dyDescent="0.35">
      <c r="A336" s="1"/>
      <c r="B336" s="1"/>
      <c r="C336" s="1"/>
      <c r="D336" s="1"/>
      <c r="E336" s="1"/>
      <c r="F336" s="1"/>
      <c r="G336" s="1"/>
      <c r="H336" s="1"/>
    </row>
    <row r="337" spans="1:8" x14ac:dyDescent="0.35">
      <c r="A337" s="1"/>
      <c r="B337" s="1"/>
      <c r="C337" s="1"/>
      <c r="D337" s="1"/>
      <c r="E337" s="1"/>
      <c r="F337" s="1"/>
      <c r="G337" s="1"/>
      <c r="H337" s="1"/>
    </row>
    <row r="338" spans="1:8" x14ac:dyDescent="0.35">
      <c r="A338" s="1"/>
      <c r="B338" s="1"/>
      <c r="C338" s="1"/>
      <c r="D338" s="1"/>
      <c r="E338" s="1"/>
      <c r="F338" s="1"/>
      <c r="G338" s="1"/>
      <c r="H338" s="1"/>
    </row>
    <row r="339" spans="1:8" x14ac:dyDescent="0.35">
      <c r="A339" s="1"/>
      <c r="B339" s="1"/>
      <c r="C339" s="1"/>
      <c r="D339" s="1"/>
      <c r="E339" s="1"/>
      <c r="F339" s="1"/>
      <c r="G339" s="1"/>
      <c r="H339" s="1"/>
    </row>
    <row r="340" spans="1:8" x14ac:dyDescent="0.35">
      <c r="A340" s="1"/>
      <c r="B340" s="1"/>
      <c r="C340" s="1"/>
      <c r="D340" s="1"/>
      <c r="E340" s="1"/>
      <c r="F340" s="1"/>
      <c r="G340" s="1"/>
      <c r="H340" s="1"/>
    </row>
    <row r="341" spans="1:8" x14ac:dyDescent="0.35">
      <c r="A341" s="1"/>
      <c r="B341" s="1"/>
      <c r="C341" s="1"/>
      <c r="D341" s="1"/>
      <c r="E341" s="1"/>
      <c r="F341" s="1"/>
      <c r="G341" s="1"/>
      <c r="H341" s="1"/>
    </row>
    <row r="342" spans="1:8" x14ac:dyDescent="0.35">
      <c r="A342" s="1"/>
      <c r="B342" s="1"/>
      <c r="C342" s="1"/>
      <c r="D342" s="1"/>
      <c r="E342" s="1"/>
      <c r="F342" s="1"/>
      <c r="G342" s="1"/>
      <c r="H342" s="1"/>
    </row>
    <row r="343" spans="1:8" x14ac:dyDescent="0.35">
      <c r="A343" s="1"/>
      <c r="B343" s="1"/>
      <c r="C343" s="1"/>
      <c r="D343" s="1"/>
      <c r="E343" s="1"/>
      <c r="F343" s="1"/>
      <c r="G343" s="1"/>
      <c r="H343" s="1"/>
    </row>
    <row r="344" spans="1:8" x14ac:dyDescent="0.35">
      <c r="A344" s="1"/>
      <c r="B344" s="1"/>
      <c r="C344" s="1"/>
      <c r="D344" s="1"/>
      <c r="E344" s="1"/>
      <c r="F344" s="1"/>
      <c r="G344" s="1"/>
      <c r="H344" s="1"/>
    </row>
    <row r="345" spans="1:8" x14ac:dyDescent="0.35">
      <c r="A345" s="1"/>
      <c r="B345" s="1"/>
      <c r="C345" s="1"/>
      <c r="D345" s="1"/>
      <c r="E345" s="1"/>
      <c r="F345" s="1"/>
      <c r="G345" s="1"/>
      <c r="H345" s="1"/>
    </row>
    <row r="346" spans="1:8" x14ac:dyDescent="0.35">
      <c r="A346" s="1"/>
      <c r="B346" s="1"/>
      <c r="C346" s="1"/>
      <c r="D346" s="1"/>
      <c r="E346" s="1"/>
      <c r="F346" s="1"/>
      <c r="G346" s="1"/>
      <c r="H346" s="1"/>
    </row>
    <row r="347" spans="1:8" x14ac:dyDescent="0.35">
      <c r="A347" s="1"/>
      <c r="B347" s="1"/>
      <c r="C347" s="1"/>
      <c r="D347" s="1"/>
      <c r="E347" s="1"/>
      <c r="F347" s="1"/>
      <c r="G347" s="1"/>
      <c r="H347" s="1"/>
    </row>
    <row r="348" spans="1:8" x14ac:dyDescent="0.35">
      <c r="A348" s="1"/>
      <c r="B348" s="1"/>
      <c r="C348" s="1"/>
      <c r="D348" s="1"/>
      <c r="E348" s="1"/>
      <c r="F348" s="1"/>
      <c r="G348" s="1"/>
      <c r="H348" s="1"/>
    </row>
    <row r="349" spans="1:8" x14ac:dyDescent="0.35">
      <c r="A349" s="1"/>
      <c r="B349" s="1"/>
      <c r="C349" s="1"/>
      <c r="D349" s="1"/>
      <c r="E349" s="1"/>
      <c r="F349" s="1"/>
      <c r="G349" s="1"/>
      <c r="H349" s="1"/>
    </row>
    <row r="350" spans="1:8" x14ac:dyDescent="0.35">
      <c r="A350" s="1"/>
      <c r="B350" s="1"/>
      <c r="C350" s="1"/>
      <c r="D350" s="1"/>
      <c r="E350" s="1"/>
      <c r="F350" s="1"/>
      <c r="G350" s="1"/>
      <c r="H350" s="1"/>
    </row>
    <row r="351" spans="1:8" x14ac:dyDescent="0.35">
      <c r="A351" s="1"/>
      <c r="B351" s="1"/>
      <c r="C351" s="1"/>
      <c r="D351" s="1"/>
      <c r="E351" s="1"/>
      <c r="F351" s="1"/>
      <c r="G351" s="1"/>
      <c r="H351" s="1"/>
    </row>
    <row r="352" spans="1:8" x14ac:dyDescent="0.35">
      <c r="A352" s="1"/>
      <c r="B352" s="1"/>
      <c r="C352" s="1"/>
      <c r="D352" s="1"/>
      <c r="E352" s="1"/>
      <c r="F352" s="1"/>
      <c r="G352" s="1"/>
      <c r="H352" s="1"/>
    </row>
    <row r="353" spans="1:8" x14ac:dyDescent="0.35">
      <c r="A353" s="1"/>
      <c r="B353" s="1"/>
      <c r="C353" s="1"/>
      <c r="D353" s="1"/>
      <c r="E353" s="1"/>
      <c r="F353" s="1"/>
      <c r="G353" s="1"/>
      <c r="H353" s="1"/>
    </row>
    <row r="354" spans="1:8" x14ac:dyDescent="0.35">
      <c r="A354" s="1"/>
      <c r="B354" s="1"/>
      <c r="C354" s="1"/>
      <c r="D354" s="1"/>
      <c r="E354" s="1"/>
      <c r="F354" s="1"/>
      <c r="G354" s="1"/>
      <c r="H354" s="1"/>
    </row>
    <row r="355" spans="1:8" x14ac:dyDescent="0.35">
      <c r="A355" s="1"/>
      <c r="B355" s="1"/>
      <c r="C355" s="1"/>
      <c r="D355" s="1"/>
      <c r="E355" s="1"/>
      <c r="F355" s="1"/>
      <c r="G355" s="1"/>
      <c r="H355" s="1"/>
    </row>
    <row r="356" spans="1:8" x14ac:dyDescent="0.35">
      <c r="A356" s="1"/>
      <c r="B356" s="1"/>
      <c r="C356" s="1"/>
      <c r="D356" s="1"/>
      <c r="E356" s="1"/>
      <c r="F356" s="1"/>
      <c r="G356" s="1"/>
      <c r="H356" s="1"/>
    </row>
    <row r="357" spans="1:8" x14ac:dyDescent="0.35">
      <c r="A357" s="1"/>
      <c r="B357" s="1"/>
      <c r="C357" s="1"/>
      <c r="D357" s="1"/>
      <c r="E357" s="1"/>
      <c r="F357" s="1"/>
      <c r="G357" s="1"/>
      <c r="H357" s="1"/>
    </row>
    <row r="358" spans="1:8" x14ac:dyDescent="0.35">
      <c r="A358" s="1"/>
      <c r="B358" s="1"/>
      <c r="C358" s="1"/>
      <c r="D358" s="1"/>
      <c r="E358" s="1"/>
      <c r="F358" s="1"/>
      <c r="G358" s="1"/>
      <c r="H358" s="1"/>
    </row>
    <row r="359" spans="1:8" x14ac:dyDescent="0.35">
      <c r="A359" s="1"/>
      <c r="B359" s="1"/>
      <c r="C359" s="1"/>
      <c r="D359" s="1"/>
      <c r="E359" s="1"/>
      <c r="F359" s="1"/>
      <c r="G359" s="1"/>
      <c r="H359" s="1"/>
    </row>
    <row r="360" spans="1:8" x14ac:dyDescent="0.35">
      <c r="A360" s="1"/>
      <c r="B360" s="1"/>
      <c r="C360" s="1"/>
      <c r="D360" s="1"/>
      <c r="E360" s="1"/>
      <c r="F360" s="1"/>
      <c r="G360" s="1"/>
      <c r="H360" s="1"/>
    </row>
    <row r="361" spans="1:8" x14ac:dyDescent="0.35">
      <c r="A361" s="1"/>
      <c r="B361" s="1"/>
      <c r="C361" s="1"/>
      <c r="D361" s="1"/>
      <c r="E361" s="1"/>
      <c r="F361" s="1"/>
      <c r="G361" s="1"/>
      <c r="H361" s="1"/>
    </row>
    <row r="362" spans="1:8" x14ac:dyDescent="0.35">
      <c r="A362" s="1"/>
      <c r="B362" s="1"/>
      <c r="C362" s="1"/>
      <c r="D362" s="1"/>
      <c r="E362" s="1"/>
      <c r="F362" s="1"/>
      <c r="G362" s="1"/>
      <c r="H362" s="1"/>
    </row>
    <row r="363" spans="1:8" x14ac:dyDescent="0.35">
      <c r="A363" s="1"/>
      <c r="B363" s="1"/>
      <c r="C363" s="1"/>
      <c r="D363" s="1"/>
      <c r="E363" s="1"/>
      <c r="F363" s="1"/>
      <c r="G363" s="1"/>
      <c r="H363" s="1"/>
    </row>
    <row r="364" spans="1:8" x14ac:dyDescent="0.35">
      <c r="A364" s="1"/>
      <c r="B364" s="1"/>
      <c r="C364" s="1"/>
      <c r="D364" s="1"/>
      <c r="E364" s="1"/>
      <c r="F364" s="1"/>
      <c r="G364" s="1"/>
      <c r="H364" s="1"/>
    </row>
    <row r="365" spans="1:8" x14ac:dyDescent="0.35">
      <c r="A365" s="1"/>
      <c r="B365" s="1"/>
      <c r="C365" s="1"/>
      <c r="D365" s="1"/>
      <c r="E365" s="1"/>
      <c r="F365" s="1"/>
      <c r="G365" s="1"/>
      <c r="H365" s="1"/>
    </row>
    <row r="366" spans="1:8" x14ac:dyDescent="0.35">
      <c r="A366" s="1"/>
      <c r="B366" s="1"/>
      <c r="C366" s="1"/>
      <c r="D366" s="1"/>
      <c r="E366" s="1"/>
      <c r="F366" s="1"/>
      <c r="G366" s="1"/>
      <c r="H366" s="1"/>
    </row>
    <row r="367" spans="1:8" x14ac:dyDescent="0.35">
      <c r="A367" s="1"/>
      <c r="B367" s="1"/>
      <c r="C367" s="1"/>
      <c r="D367" s="1"/>
      <c r="E367" s="1"/>
      <c r="F367" s="1"/>
      <c r="G367" s="1"/>
      <c r="H367" s="1"/>
    </row>
    <row r="368" spans="1:8" x14ac:dyDescent="0.35">
      <c r="A368" s="1"/>
      <c r="B368" s="1"/>
      <c r="C368" s="1"/>
      <c r="D368" s="1"/>
      <c r="E368" s="1"/>
      <c r="F368" s="1"/>
      <c r="G368" s="1"/>
      <c r="H368" s="1"/>
    </row>
    <row r="369" spans="1:8" x14ac:dyDescent="0.35">
      <c r="A369" s="1"/>
      <c r="B369" s="1"/>
      <c r="C369" s="1"/>
      <c r="D369" s="1"/>
      <c r="E369" s="1"/>
      <c r="F369" s="1"/>
      <c r="G369" s="1"/>
      <c r="H369" s="1"/>
    </row>
    <row r="370" spans="1:8" x14ac:dyDescent="0.35">
      <c r="A370" s="1"/>
      <c r="B370" s="1"/>
      <c r="C370" s="1"/>
      <c r="D370" s="1"/>
      <c r="E370" s="1"/>
      <c r="F370" s="1"/>
      <c r="G370" s="1"/>
      <c r="H370" s="1"/>
    </row>
    <row r="371" spans="1:8" x14ac:dyDescent="0.35">
      <c r="A371" s="1"/>
      <c r="B371" s="1"/>
      <c r="C371" s="1"/>
      <c r="D371" s="1"/>
      <c r="E371" s="1"/>
      <c r="F371" s="1"/>
      <c r="G371" s="1"/>
      <c r="H371" s="1"/>
    </row>
    <row r="372" spans="1:8" x14ac:dyDescent="0.35">
      <c r="A372" s="1"/>
      <c r="B372" s="1"/>
      <c r="C372" s="1"/>
      <c r="D372" s="1"/>
      <c r="E372" s="1"/>
      <c r="F372" s="1"/>
      <c r="G372" s="1"/>
      <c r="H372" s="1"/>
    </row>
    <row r="373" spans="1:8" x14ac:dyDescent="0.35">
      <c r="A373" s="1"/>
      <c r="B373" s="1"/>
      <c r="C373" s="1"/>
      <c r="D373" s="1"/>
      <c r="E373" s="1"/>
      <c r="F373" s="1"/>
      <c r="G373" s="1"/>
      <c r="H373" s="1"/>
    </row>
    <row r="374" spans="1:8" x14ac:dyDescent="0.35">
      <c r="A374" s="1"/>
      <c r="B374" s="1"/>
      <c r="C374" s="1"/>
      <c r="D374" s="1"/>
      <c r="E374" s="1"/>
      <c r="F374" s="1"/>
      <c r="G374" s="1"/>
      <c r="H374" s="1"/>
    </row>
    <row r="375" spans="1:8" x14ac:dyDescent="0.35">
      <c r="A375" s="1"/>
      <c r="B375" s="1"/>
      <c r="C375" s="1"/>
      <c r="D375" s="1"/>
      <c r="E375" s="1"/>
      <c r="F375" s="1"/>
      <c r="G375" s="1"/>
      <c r="H375" s="1"/>
    </row>
    <row r="376" spans="1:8" x14ac:dyDescent="0.35">
      <c r="A376" s="1"/>
      <c r="B376" s="1"/>
      <c r="C376" s="1"/>
      <c r="D376" s="1"/>
      <c r="E376" s="1"/>
      <c r="F376" s="1"/>
      <c r="G376" s="1"/>
      <c r="H376" s="1"/>
    </row>
    <row r="377" spans="1:8" x14ac:dyDescent="0.35">
      <c r="A377" s="1"/>
      <c r="B377" s="1"/>
      <c r="C377" s="1"/>
      <c r="D377" s="1"/>
      <c r="E377" s="1"/>
      <c r="F377" s="1"/>
      <c r="G377" s="1"/>
      <c r="H377" s="1"/>
    </row>
    <row r="378" spans="1:8" x14ac:dyDescent="0.35">
      <c r="A378" s="1"/>
      <c r="B378" s="1"/>
      <c r="C378" s="1"/>
      <c r="D378" s="1"/>
      <c r="E378" s="1"/>
      <c r="F378" s="1"/>
      <c r="G378" s="1"/>
      <c r="H378" s="1"/>
    </row>
    <row r="379" spans="1:8" x14ac:dyDescent="0.35">
      <c r="A379" s="1"/>
      <c r="B379" s="1"/>
      <c r="C379" s="1"/>
      <c r="D379" s="1"/>
      <c r="E379" s="1"/>
      <c r="F379" s="1"/>
      <c r="G379" s="1"/>
      <c r="H379" s="1"/>
    </row>
    <row r="380" spans="1:8" x14ac:dyDescent="0.35">
      <c r="A380" s="1"/>
      <c r="B380" s="1"/>
      <c r="C380" s="1"/>
      <c r="D380" s="1"/>
      <c r="E380" s="1"/>
      <c r="F380" s="1"/>
      <c r="G380" s="1"/>
      <c r="H380" s="1"/>
    </row>
    <row r="381" spans="1:8" x14ac:dyDescent="0.35">
      <c r="A381" s="1"/>
      <c r="B381" s="1"/>
      <c r="C381" s="1"/>
      <c r="D381" s="1"/>
      <c r="E381" s="1"/>
      <c r="F381" s="1"/>
      <c r="G381" s="1"/>
      <c r="H381" s="1"/>
    </row>
    <row r="382" spans="1:8" x14ac:dyDescent="0.35">
      <c r="A382" s="1"/>
      <c r="B382" s="1"/>
      <c r="C382" s="1"/>
      <c r="D382" s="1"/>
      <c r="E382" s="1"/>
      <c r="F382" s="1"/>
      <c r="G382" s="1"/>
      <c r="H382" s="1"/>
    </row>
    <row r="383" spans="1:8" x14ac:dyDescent="0.35">
      <c r="A383" s="1"/>
      <c r="B383" s="1"/>
      <c r="C383" s="1"/>
      <c r="D383" s="1"/>
      <c r="E383" s="1"/>
      <c r="F383" s="1"/>
      <c r="G383" s="1"/>
      <c r="H383" s="1"/>
    </row>
    <row r="384" spans="1:8" x14ac:dyDescent="0.35">
      <c r="A384" s="1"/>
      <c r="B384" s="1"/>
      <c r="C384" s="1"/>
      <c r="D384" s="1"/>
      <c r="E384" s="1"/>
      <c r="F384" s="1"/>
      <c r="G384" s="1"/>
      <c r="H384" s="1"/>
    </row>
    <row r="385" spans="1:8" x14ac:dyDescent="0.35">
      <c r="A385" s="1"/>
      <c r="B385" s="1"/>
      <c r="C385" s="1"/>
      <c r="D385" s="1"/>
      <c r="E385" s="1"/>
      <c r="F385" s="1"/>
      <c r="G385" s="1"/>
      <c r="H385" s="1"/>
    </row>
    <row r="386" spans="1:8" x14ac:dyDescent="0.35">
      <c r="A386" s="1"/>
      <c r="B386" s="1"/>
      <c r="C386" s="1"/>
      <c r="D386" s="1"/>
      <c r="E386" s="1"/>
      <c r="F386" s="1"/>
      <c r="G386" s="1"/>
      <c r="H386" s="1"/>
    </row>
    <row r="387" spans="1:8" x14ac:dyDescent="0.35">
      <c r="A387" s="1"/>
      <c r="B387" s="1"/>
      <c r="C387" s="1"/>
      <c r="D387" s="1"/>
      <c r="E387" s="1"/>
      <c r="F387" s="1"/>
      <c r="G387" s="1"/>
      <c r="H387" s="1"/>
    </row>
    <row r="388" spans="1:8" x14ac:dyDescent="0.35">
      <c r="A388" s="1"/>
      <c r="B388" s="1"/>
      <c r="C388" s="1"/>
      <c r="D388" s="1"/>
      <c r="E388" s="1"/>
      <c r="F388" s="1"/>
      <c r="G388" s="1"/>
      <c r="H388" s="1"/>
    </row>
    <row r="389" spans="1:8" x14ac:dyDescent="0.35">
      <c r="A389" s="1"/>
      <c r="B389" s="1"/>
      <c r="C389" s="1"/>
      <c r="D389" s="1"/>
      <c r="E389" s="1"/>
      <c r="F389" s="1"/>
      <c r="G389" s="1"/>
      <c r="H389" s="1"/>
    </row>
    <row r="390" spans="1:8" x14ac:dyDescent="0.35">
      <c r="A390" s="1"/>
      <c r="B390" s="1"/>
      <c r="C390" s="1"/>
      <c r="D390" s="1"/>
      <c r="E390" s="1"/>
      <c r="F390" s="1"/>
      <c r="G390" s="1"/>
      <c r="H390" s="1"/>
    </row>
    <row r="391" spans="1:8" x14ac:dyDescent="0.35">
      <c r="A391" s="1"/>
      <c r="B391" s="1"/>
      <c r="C391" s="1"/>
      <c r="D391" s="1"/>
      <c r="E391" s="1"/>
      <c r="F391" s="1"/>
      <c r="G391" s="1"/>
      <c r="H391" s="1"/>
    </row>
    <row r="392" spans="1:8" x14ac:dyDescent="0.35">
      <c r="A392" s="1"/>
      <c r="B392" s="1"/>
      <c r="C392" s="1"/>
      <c r="D392" s="1"/>
      <c r="E392" s="1"/>
      <c r="F392" s="1"/>
      <c r="G392" s="1"/>
      <c r="H392" s="1"/>
    </row>
    <row r="393" spans="1:8" x14ac:dyDescent="0.35">
      <c r="A393" s="1"/>
      <c r="B393" s="1"/>
      <c r="C393" s="1"/>
      <c r="D393" s="1"/>
      <c r="E393" s="1"/>
      <c r="F393" s="1"/>
      <c r="G393" s="1"/>
      <c r="H393" s="1"/>
    </row>
    <row r="394" spans="1:8" x14ac:dyDescent="0.35">
      <c r="A394" s="1"/>
      <c r="B394" s="1"/>
      <c r="C394" s="1"/>
      <c r="D394" s="1"/>
      <c r="E394" s="1"/>
      <c r="F394" s="1"/>
      <c r="G394" s="1"/>
      <c r="H394" s="1"/>
    </row>
    <row r="395" spans="1:8" x14ac:dyDescent="0.35">
      <c r="A395" s="1"/>
      <c r="B395" s="1"/>
      <c r="C395" s="1"/>
      <c r="D395" s="1"/>
      <c r="E395" s="1"/>
      <c r="F395" s="1"/>
      <c r="G395" s="1"/>
      <c r="H395" s="1"/>
    </row>
    <row r="396" spans="1:8" x14ac:dyDescent="0.35">
      <c r="A396" s="1"/>
      <c r="B396" s="1"/>
      <c r="C396" s="1"/>
      <c r="D396" s="1"/>
      <c r="E396" s="1"/>
      <c r="F396" s="1"/>
      <c r="G396" s="1"/>
      <c r="H396" s="1"/>
    </row>
    <row r="397" spans="1:8" x14ac:dyDescent="0.35">
      <c r="A397" s="1"/>
      <c r="B397" s="1"/>
      <c r="C397" s="1"/>
      <c r="D397" s="1"/>
      <c r="E397" s="1"/>
      <c r="F397" s="1"/>
      <c r="G397" s="1"/>
      <c r="H397" s="1"/>
    </row>
    <row r="398" spans="1:8" x14ac:dyDescent="0.35">
      <c r="A398" s="1"/>
      <c r="B398" s="1"/>
      <c r="C398" s="1"/>
      <c r="D398" s="1"/>
      <c r="E398" s="1"/>
      <c r="F398" s="1"/>
      <c r="G398" s="1"/>
      <c r="H398" s="1"/>
    </row>
    <row r="399" spans="1:8" x14ac:dyDescent="0.35">
      <c r="A399" s="1"/>
      <c r="B399" s="1"/>
      <c r="C399" s="1"/>
      <c r="D399" s="1"/>
      <c r="E399" s="1"/>
      <c r="F399" s="1"/>
      <c r="G399" s="1"/>
      <c r="H399" s="1"/>
    </row>
    <row r="400" spans="1:8" x14ac:dyDescent="0.35">
      <c r="A400" s="1"/>
      <c r="B400" s="1"/>
      <c r="C400" s="1"/>
      <c r="D400" s="1"/>
      <c r="E400" s="1"/>
      <c r="F400" s="1"/>
      <c r="G400" s="1"/>
      <c r="H400" s="1"/>
    </row>
    <row r="401" spans="1:8" x14ac:dyDescent="0.35">
      <c r="A401" s="1"/>
      <c r="B401" s="1"/>
      <c r="C401" s="1"/>
      <c r="D401" s="1"/>
      <c r="E401" s="1"/>
      <c r="F401" s="1"/>
      <c r="G401" s="1"/>
      <c r="H401" s="1"/>
    </row>
    <row r="402" spans="1:8" x14ac:dyDescent="0.35">
      <c r="A402" s="1"/>
      <c r="B402" s="1"/>
      <c r="C402" s="1"/>
      <c r="D402" s="1"/>
      <c r="E402" s="1"/>
      <c r="F402" s="1"/>
      <c r="G402" s="1"/>
      <c r="H402" s="1"/>
    </row>
    <row r="403" spans="1:8" x14ac:dyDescent="0.35">
      <c r="A403" s="1"/>
      <c r="B403" s="1"/>
      <c r="C403" s="1"/>
      <c r="D403" s="1"/>
      <c r="E403" s="1"/>
      <c r="F403" s="1"/>
      <c r="G403" s="1"/>
      <c r="H403" s="1"/>
    </row>
    <row r="404" spans="1:8" x14ac:dyDescent="0.35">
      <c r="A404" s="1"/>
      <c r="B404" s="1"/>
      <c r="C404" s="1"/>
      <c r="D404" s="1"/>
      <c r="E404" s="1"/>
      <c r="F404" s="1"/>
      <c r="G404" s="1"/>
      <c r="H404" s="1"/>
    </row>
    <row r="405" spans="1:8" x14ac:dyDescent="0.35">
      <c r="A405" s="1"/>
      <c r="B405" s="1"/>
      <c r="C405" s="1"/>
      <c r="D405" s="1"/>
      <c r="E405" s="1"/>
      <c r="F405" s="1"/>
      <c r="G405" s="1"/>
      <c r="H405" s="1"/>
    </row>
    <row r="406" spans="1:8" x14ac:dyDescent="0.35">
      <c r="A406" s="1"/>
      <c r="B406" s="1"/>
      <c r="C406" s="1"/>
      <c r="D406" s="1"/>
      <c r="E406" s="1"/>
      <c r="F406" s="1"/>
      <c r="G406" s="1"/>
      <c r="H406" s="1"/>
    </row>
    <row r="407" spans="1:8" x14ac:dyDescent="0.35">
      <c r="A407" s="1"/>
      <c r="B407" s="1"/>
      <c r="C407" s="1"/>
      <c r="D407" s="1"/>
      <c r="E407" s="1"/>
      <c r="F407" s="1"/>
      <c r="G407" s="1"/>
      <c r="H407" s="1"/>
    </row>
    <row r="408" spans="1:8" x14ac:dyDescent="0.35">
      <c r="A408" s="1"/>
      <c r="B408" s="1"/>
      <c r="C408" s="1"/>
      <c r="D408" s="1"/>
      <c r="E408" s="1"/>
      <c r="F408" s="1"/>
      <c r="G408" s="1"/>
      <c r="H408" s="1"/>
    </row>
    <row r="409" spans="1:8" x14ac:dyDescent="0.35">
      <c r="A409" s="1"/>
      <c r="B409" s="1"/>
      <c r="C409" s="1"/>
      <c r="D409" s="1"/>
      <c r="E409" s="1"/>
      <c r="F409" s="1"/>
      <c r="G409" s="1"/>
      <c r="H409" s="1"/>
    </row>
    <row r="410" spans="1:8" x14ac:dyDescent="0.35">
      <c r="A410" s="1"/>
      <c r="B410" s="1"/>
      <c r="C410" s="1"/>
      <c r="D410" s="1"/>
      <c r="E410" s="1"/>
      <c r="F410" s="1"/>
      <c r="G410" s="1"/>
      <c r="H410" s="1"/>
    </row>
    <row r="411" spans="1:8" x14ac:dyDescent="0.35">
      <c r="A411" s="1"/>
      <c r="B411" s="1"/>
      <c r="C411" s="1"/>
      <c r="D411" s="1"/>
      <c r="E411" s="1"/>
      <c r="F411" s="1"/>
      <c r="G411" s="1"/>
      <c r="H411" s="1"/>
    </row>
    <row r="412" spans="1:8" x14ac:dyDescent="0.35">
      <c r="A412" s="1"/>
      <c r="B412" s="1"/>
      <c r="C412" s="1"/>
      <c r="D412" s="1"/>
      <c r="E412" s="1"/>
      <c r="F412" s="1"/>
      <c r="G412" s="1"/>
      <c r="H412" s="1"/>
    </row>
    <row r="413" spans="1:8" x14ac:dyDescent="0.35">
      <c r="A413" s="1"/>
      <c r="B413" s="1"/>
      <c r="C413" s="1"/>
      <c r="D413" s="1"/>
      <c r="E413" s="1"/>
      <c r="F413" s="1"/>
      <c r="G413" s="1"/>
      <c r="H413" s="1"/>
    </row>
    <row r="414" spans="1:8" x14ac:dyDescent="0.35">
      <c r="A414" s="1"/>
      <c r="B414" s="1"/>
      <c r="C414" s="1"/>
      <c r="D414" s="1"/>
      <c r="E414" s="1"/>
      <c r="F414" s="1"/>
      <c r="G414" s="1"/>
      <c r="H414" s="1"/>
    </row>
    <row r="415" spans="1:8" x14ac:dyDescent="0.35">
      <c r="A415" s="1"/>
      <c r="B415" s="1"/>
      <c r="C415" s="1"/>
      <c r="D415" s="1"/>
      <c r="E415" s="1"/>
      <c r="F415" s="1"/>
      <c r="G415" s="1"/>
      <c r="H415" s="1"/>
    </row>
    <row r="416" spans="1:8" x14ac:dyDescent="0.35">
      <c r="A416" s="1"/>
      <c r="B416" s="1"/>
      <c r="C416" s="1"/>
      <c r="D416" s="1"/>
      <c r="E416" s="1"/>
      <c r="F416" s="1"/>
      <c r="G416" s="1"/>
      <c r="H416" s="1"/>
    </row>
    <row r="417" spans="1:8" x14ac:dyDescent="0.35">
      <c r="A417" s="1"/>
      <c r="B417" s="1"/>
      <c r="C417" s="1"/>
      <c r="D417" s="1"/>
      <c r="E417" s="1"/>
      <c r="F417" s="1"/>
      <c r="G417" s="1"/>
      <c r="H417" s="1"/>
    </row>
    <row r="418" spans="1:8" x14ac:dyDescent="0.35">
      <c r="A418" s="1"/>
      <c r="B418" s="1"/>
      <c r="C418" s="1"/>
      <c r="D418" s="1"/>
      <c r="E418" s="1"/>
      <c r="F418" s="1"/>
      <c r="G418" s="1"/>
      <c r="H418" s="1"/>
    </row>
    <row r="419" spans="1:8" x14ac:dyDescent="0.35">
      <c r="A419" s="1"/>
      <c r="B419" s="1"/>
      <c r="C419" s="1"/>
      <c r="D419" s="1"/>
      <c r="E419" s="1"/>
      <c r="F419" s="1"/>
      <c r="G419" s="1"/>
      <c r="H419" s="1"/>
    </row>
    <row r="420" spans="1:8" x14ac:dyDescent="0.35">
      <c r="A420" s="1"/>
      <c r="B420" s="1"/>
      <c r="C420" s="1"/>
      <c r="D420" s="1"/>
      <c r="E420" s="1"/>
      <c r="F420" s="1"/>
      <c r="G420" s="1"/>
      <c r="H420" s="1"/>
    </row>
    <row r="421" spans="1:8" x14ac:dyDescent="0.35">
      <c r="A421" s="1"/>
      <c r="B421" s="1"/>
      <c r="C421" s="1"/>
      <c r="D421" s="1"/>
      <c r="E421" s="1"/>
      <c r="F421" s="1"/>
      <c r="G421" s="1"/>
      <c r="H421" s="1"/>
    </row>
    <row r="422" spans="1:8" x14ac:dyDescent="0.35">
      <c r="A422" s="1"/>
      <c r="B422" s="1"/>
      <c r="C422" s="1"/>
      <c r="D422" s="1"/>
      <c r="E422" s="1"/>
      <c r="F422" s="1"/>
      <c r="G422" s="1"/>
      <c r="H422" s="1"/>
    </row>
    <row r="423" spans="1:8" x14ac:dyDescent="0.35">
      <c r="A423" s="1"/>
      <c r="B423" s="1"/>
      <c r="C423" s="1"/>
      <c r="D423" s="1"/>
      <c r="E423" s="1"/>
      <c r="F423" s="1"/>
      <c r="G423" s="1"/>
      <c r="H423" s="1"/>
    </row>
    <row r="424" spans="1:8" x14ac:dyDescent="0.35">
      <c r="A424" s="1"/>
      <c r="B424" s="1"/>
      <c r="C424" s="1"/>
      <c r="D424" s="1"/>
      <c r="E424" s="1"/>
      <c r="F424" s="1"/>
      <c r="G424" s="1"/>
      <c r="H424" s="1"/>
    </row>
    <row r="425" spans="1:8" x14ac:dyDescent="0.35">
      <c r="A425" s="1"/>
      <c r="B425" s="1"/>
      <c r="C425" s="1"/>
      <c r="D425" s="1"/>
      <c r="E425" s="1"/>
      <c r="F425" s="1"/>
      <c r="G425" s="1"/>
      <c r="H425" s="1"/>
    </row>
    <row r="426" spans="1:8" x14ac:dyDescent="0.35">
      <c r="A426" s="1"/>
      <c r="B426" s="1"/>
      <c r="C426" s="1"/>
      <c r="D426" s="1"/>
      <c r="E426" s="1"/>
      <c r="F426" s="1"/>
      <c r="G426" s="1"/>
      <c r="H426" s="1"/>
    </row>
    <row r="427" spans="1:8" x14ac:dyDescent="0.35">
      <c r="A427" s="1"/>
      <c r="B427" s="1"/>
      <c r="C427" s="1"/>
      <c r="D427" s="1"/>
      <c r="E427" s="1"/>
      <c r="F427" s="1"/>
      <c r="G427" s="1"/>
      <c r="H427" s="1"/>
    </row>
    <row r="428" spans="1:8" x14ac:dyDescent="0.35">
      <c r="A428" s="1"/>
      <c r="B428" s="1"/>
      <c r="C428" s="1"/>
      <c r="D428" s="1"/>
      <c r="E428" s="1"/>
      <c r="F428" s="1"/>
      <c r="G428" s="1"/>
      <c r="H428" s="1"/>
    </row>
    <row r="429" spans="1:8" x14ac:dyDescent="0.35">
      <c r="A429" s="1"/>
      <c r="B429" s="1"/>
      <c r="C429" s="1"/>
      <c r="D429" s="1"/>
      <c r="E429" s="1"/>
      <c r="F429" s="1"/>
      <c r="G429" s="1"/>
      <c r="H429" s="1"/>
    </row>
    <row r="430" spans="1:8" x14ac:dyDescent="0.35">
      <c r="A430" s="1"/>
      <c r="B430" s="1"/>
      <c r="C430" s="1"/>
      <c r="D430" s="1"/>
      <c r="E430" s="1"/>
      <c r="F430" s="1"/>
      <c r="G430" s="1"/>
      <c r="H430" s="1"/>
    </row>
    <row r="431" spans="1:8" x14ac:dyDescent="0.35">
      <c r="A431" s="1"/>
      <c r="B431" s="1"/>
      <c r="C431" s="1"/>
      <c r="D431" s="1"/>
      <c r="E431" s="1"/>
      <c r="F431" s="1"/>
      <c r="G431" s="1"/>
      <c r="H431" s="1"/>
    </row>
    <row r="432" spans="1:8" x14ac:dyDescent="0.35">
      <c r="A432" s="1"/>
      <c r="B432" s="1"/>
      <c r="C432" s="1"/>
      <c r="D432" s="1"/>
      <c r="E432" s="1"/>
      <c r="F432" s="1"/>
      <c r="G432" s="1"/>
      <c r="H432" s="1"/>
    </row>
    <row r="433" spans="1:8" x14ac:dyDescent="0.35">
      <c r="A433" s="1"/>
      <c r="B433" s="1"/>
      <c r="C433" s="1"/>
      <c r="D433" s="1"/>
      <c r="E433" s="1"/>
      <c r="F433" s="1"/>
      <c r="G433" s="1"/>
      <c r="H433" s="1"/>
    </row>
    <row r="434" spans="1:8" x14ac:dyDescent="0.35">
      <c r="A434" s="1"/>
      <c r="B434" s="1"/>
      <c r="C434" s="1"/>
      <c r="D434" s="1"/>
      <c r="E434" s="1"/>
      <c r="F434" s="1"/>
      <c r="G434" s="1"/>
      <c r="H434" s="1"/>
    </row>
    <row r="435" spans="1:8" x14ac:dyDescent="0.35">
      <c r="A435" s="1"/>
      <c r="B435" s="1"/>
      <c r="C435" s="1"/>
      <c r="D435" s="1"/>
      <c r="E435" s="1"/>
      <c r="F435" s="1"/>
      <c r="G435" s="1"/>
      <c r="H435" s="1"/>
    </row>
    <row r="436" spans="1:8" x14ac:dyDescent="0.35">
      <c r="A436" s="1"/>
      <c r="B436" s="1"/>
      <c r="C436" s="1"/>
      <c r="D436" s="1"/>
      <c r="E436" s="1"/>
      <c r="F436" s="1"/>
      <c r="G436" s="1"/>
      <c r="H436" s="1"/>
    </row>
    <row r="437" spans="1:8" x14ac:dyDescent="0.35">
      <c r="A437" s="1"/>
      <c r="B437" s="1"/>
      <c r="C437" s="1"/>
      <c r="D437" s="1"/>
      <c r="E437" s="1"/>
      <c r="F437" s="1"/>
      <c r="G437" s="1"/>
      <c r="H437" s="1"/>
    </row>
    <row r="438" spans="1:8" x14ac:dyDescent="0.35">
      <c r="A438" s="1"/>
      <c r="B438" s="1"/>
      <c r="C438" s="1"/>
      <c r="D438" s="1"/>
      <c r="E438" s="1"/>
      <c r="F438" s="1"/>
      <c r="G438" s="1"/>
      <c r="H438" s="1"/>
    </row>
    <row r="439" spans="1:8" x14ac:dyDescent="0.35">
      <c r="A439" s="1"/>
      <c r="B439" s="1"/>
      <c r="C439" s="1"/>
      <c r="D439" s="1"/>
      <c r="E439" s="1"/>
      <c r="F439" s="1"/>
      <c r="G439" s="1"/>
      <c r="H439" s="1"/>
    </row>
    <row r="440" spans="1:8" x14ac:dyDescent="0.35">
      <c r="A440" s="1"/>
      <c r="B440" s="1"/>
      <c r="C440" s="1"/>
      <c r="D440" s="1"/>
      <c r="E440" s="1"/>
      <c r="F440" s="1"/>
      <c r="G440" s="1"/>
      <c r="H440" s="1"/>
    </row>
    <row r="441" spans="1:8" x14ac:dyDescent="0.35">
      <c r="A441" s="1"/>
      <c r="B441" s="1"/>
      <c r="C441" s="1"/>
      <c r="D441" s="1"/>
      <c r="E441" s="1"/>
      <c r="F441" s="1"/>
      <c r="G441" s="1"/>
      <c r="H441" s="1"/>
    </row>
    <row r="442" spans="1:8" x14ac:dyDescent="0.35">
      <c r="A442" s="1"/>
      <c r="B442" s="1"/>
      <c r="C442" s="1"/>
      <c r="D442" s="1"/>
      <c r="E442" s="1"/>
      <c r="F442" s="1"/>
      <c r="G442" s="1"/>
      <c r="H442" s="1"/>
    </row>
    <row r="443" spans="1:8" x14ac:dyDescent="0.35">
      <c r="A443" s="1"/>
      <c r="B443" s="1"/>
      <c r="C443" s="1"/>
      <c r="D443" s="1"/>
      <c r="E443" s="1"/>
      <c r="F443" s="1"/>
      <c r="G443" s="1"/>
      <c r="H443" s="1"/>
    </row>
    <row r="444" spans="1:8" x14ac:dyDescent="0.35">
      <c r="A444" s="1"/>
      <c r="B444" s="1"/>
      <c r="C444" s="1"/>
      <c r="D444" s="1"/>
      <c r="E444" s="1"/>
      <c r="F444" s="1"/>
      <c r="G444" s="1"/>
      <c r="H444" s="1"/>
    </row>
    <row r="445" spans="1:8" x14ac:dyDescent="0.35">
      <c r="A445" s="1"/>
      <c r="B445" s="1"/>
      <c r="C445" s="1"/>
      <c r="D445" s="1"/>
      <c r="E445" s="1"/>
      <c r="F445" s="1"/>
      <c r="G445" s="1"/>
      <c r="H445" s="1"/>
    </row>
    <row r="446" spans="1:8" x14ac:dyDescent="0.35">
      <c r="A446" s="1"/>
      <c r="B446" s="1"/>
      <c r="C446" s="1"/>
      <c r="D446" s="1"/>
      <c r="E446" s="1"/>
      <c r="F446" s="1"/>
      <c r="G446" s="1"/>
      <c r="H446" s="1"/>
    </row>
    <row r="447" spans="1:8" x14ac:dyDescent="0.35">
      <c r="A447" s="1"/>
      <c r="B447" s="1"/>
      <c r="C447" s="1"/>
      <c r="D447" s="1"/>
      <c r="E447" s="1"/>
      <c r="F447" s="1"/>
      <c r="G447" s="1"/>
      <c r="H447" s="1"/>
    </row>
    <row r="448" spans="1:8" x14ac:dyDescent="0.35">
      <c r="A448" s="1"/>
      <c r="B448" s="1"/>
      <c r="C448" s="1"/>
      <c r="D448" s="1"/>
      <c r="E448" s="1"/>
      <c r="F448" s="1"/>
      <c r="G448" s="1"/>
      <c r="H448" s="1"/>
    </row>
    <row r="449" spans="1:8" x14ac:dyDescent="0.35">
      <c r="A449" s="1"/>
      <c r="B449" s="1"/>
      <c r="C449" s="1"/>
      <c r="D449" s="1"/>
      <c r="E449" s="1"/>
      <c r="F449" s="1"/>
      <c r="G449" s="1"/>
      <c r="H449" s="1"/>
    </row>
    <row r="450" spans="1:8" x14ac:dyDescent="0.35">
      <c r="A450" s="1"/>
      <c r="B450" s="1"/>
      <c r="C450" s="1"/>
      <c r="D450" s="1"/>
      <c r="E450" s="1"/>
      <c r="F450" s="1"/>
      <c r="G450" s="1"/>
      <c r="H450" s="1"/>
    </row>
    <row r="451" spans="1:8" x14ac:dyDescent="0.35">
      <c r="A451" s="1"/>
      <c r="B451" s="1"/>
      <c r="C451" s="1"/>
      <c r="D451" s="1"/>
      <c r="E451" s="1"/>
      <c r="F451" s="1"/>
      <c r="G451" s="1"/>
      <c r="H451" s="1"/>
    </row>
    <row r="452" spans="1:8" x14ac:dyDescent="0.35">
      <c r="A452" s="1"/>
      <c r="B452" s="1"/>
      <c r="C452" s="1"/>
      <c r="D452" s="1"/>
      <c r="E452" s="1"/>
      <c r="F452" s="1"/>
      <c r="G452" s="1"/>
      <c r="H452" s="1"/>
    </row>
    <row r="453" spans="1:8" x14ac:dyDescent="0.35">
      <c r="A453" s="1"/>
      <c r="B453" s="1"/>
      <c r="C453" s="1"/>
      <c r="D453" s="1"/>
      <c r="E453" s="1"/>
      <c r="F453" s="1"/>
      <c r="G453" s="1"/>
      <c r="H453" s="1"/>
    </row>
    <row r="454" spans="1:8" x14ac:dyDescent="0.35">
      <c r="A454" s="1"/>
      <c r="B454" s="1"/>
      <c r="C454" s="1"/>
      <c r="D454" s="1"/>
      <c r="E454" s="1"/>
      <c r="F454" s="1"/>
      <c r="G454" s="1"/>
      <c r="H454" s="1"/>
    </row>
    <row r="455" spans="1:8" x14ac:dyDescent="0.35">
      <c r="A455" s="1"/>
      <c r="B455" s="1"/>
      <c r="C455" s="1"/>
      <c r="D455" s="1"/>
      <c r="E455" s="1"/>
      <c r="F455" s="1"/>
      <c r="G455" s="1"/>
      <c r="H455" s="1"/>
    </row>
    <row r="456" spans="1:8" x14ac:dyDescent="0.35">
      <c r="A456" s="1"/>
      <c r="B456" s="1"/>
      <c r="C456" s="1"/>
      <c r="D456" s="1"/>
      <c r="E456" s="1"/>
      <c r="F456" s="1"/>
      <c r="G456" s="1"/>
      <c r="H456" s="1"/>
    </row>
    <row r="457" spans="1:8" x14ac:dyDescent="0.35">
      <c r="A457" s="1"/>
      <c r="B457" s="1"/>
      <c r="C457" s="1"/>
      <c r="D457" s="1"/>
      <c r="E457" s="1"/>
      <c r="F457" s="1"/>
      <c r="G457" s="1"/>
      <c r="H457" s="1"/>
    </row>
    <row r="458" spans="1:8" x14ac:dyDescent="0.35">
      <c r="A458" s="1"/>
      <c r="B458" s="1"/>
      <c r="C458" s="1"/>
      <c r="D458" s="1"/>
      <c r="E458" s="1"/>
      <c r="F458" s="1"/>
      <c r="G458" s="1"/>
      <c r="H458" s="1"/>
    </row>
    <row r="459" spans="1:8" x14ac:dyDescent="0.35">
      <c r="A459" s="1"/>
      <c r="B459" s="1"/>
      <c r="C459" s="1"/>
      <c r="D459" s="1"/>
      <c r="E459" s="1"/>
      <c r="F459" s="1"/>
      <c r="G459" s="1"/>
      <c r="H459" s="1"/>
    </row>
    <row r="460" spans="1:8" x14ac:dyDescent="0.35">
      <c r="A460" s="1"/>
      <c r="B460" s="1"/>
      <c r="C460" s="1"/>
      <c r="D460" s="1"/>
      <c r="E460" s="1"/>
      <c r="F460" s="1"/>
      <c r="G460" s="1"/>
      <c r="H460" s="1"/>
    </row>
    <row r="461" spans="1:8" x14ac:dyDescent="0.35">
      <c r="A461" s="1"/>
      <c r="B461" s="1"/>
      <c r="C461" s="1"/>
      <c r="D461" s="1"/>
      <c r="E461" s="1"/>
      <c r="F461" s="1"/>
      <c r="G461" s="1"/>
      <c r="H461" s="1"/>
    </row>
    <row r="462" spans="1:8" x14ac:dyDescent="0.35">
      <c r="A462" s="1"/>
      <c r="B462" s="1"/>
      <c r="C462" s="1"/>
      <c r="D462" s="1"/>
      <c r="E462" s="1"/>
      <c r="F462" s="1"/>
      <c r="G462" s="1"/>
      <c r="H462" s="1"/>
    </row>
    <row r="463" spans="1:8" x14ac:dyDescent="0.35">
      <c r="A463" s="1"/>
      <c r="B463" s="1"/>
      <c r="C463" s="1"/>
      <c r="D463" s="1"/>
      <c r="E463" s="1"/>
      <c r="F463" s="1"/>
      <c r="G463" s="1"/>
      <c r="H463" s="1"/>
    </row>
    <row r="464" spans="1:8" x14ac:dyDescent="0.35">
      <c r="A464" s="1"/>
      <c r="B464" s="1"/>
      <c r="C464" s="1"/>
      <c r="D464" s="1"/>
      <c r="E464" s="1"/>
      <c r="F464" s="1"/>
      <c r="G464" s="1"/>
      <c r="H464" s="1"/>
    </row>
    <row r="465" spans="1:8" x14ac:dyDescent="0.35">
      <c r="A465" s="1"/>
      <c r="B465" s="1"/>
      <c r="C465" s="1"/>
      <c r="D465" s="1"/>
      <c r="E465" s="1"/>
      <c r="F465" s="1"/>
      <c r="G465" s="1"/>
      <c r="H465" s="1"/>
    </row>
    <row r="466" spans="1:8" x14ac:dyDescent="0.35">
      <c r="A466" s="1"/>
      <c r="B466" s="1"/>
      <c r="C466" s="1"/>
      <c r="D466" s="1"/>
      <c r="E466" s="1"/>
      <c r="F466" s="1"/>
      <c r="G466" s="1"/>
      <c r="H466" s="1"/>
    </row>
    <row r="467" spans="1:8" x14ac:dyDescent="0.35">
      <c r="A467" s="1"/>
      <c r="B467" s="1"/>
      <c r="C467" s="1"/>
      <c r="D467" s="1"/>
      <c r="E467" s="1"/>
      <c r="F467" s="1"/>
      <c r="G467" s="1"/>
      <c r="H467" s="1"/>
    </row>
    <row r="468" spans="1:8" x14ac:dyDescent="0.35">
      <c r="A468" s="1"/>
      <c r="B468" s="1"/>
      <c r="C468" s="1"/>
      <c r="D468" s="1"/>
      <c r="E468" s="1"/>
      <c r="F468" s="1"/>
      <c r="G468" s="1"/>
      <c r="H468" s="1"/>
    </row>
    <row r="469" spans="1:8" x14ac:dyDescent="0.35">
      <c r="A469" s="1"/>
      <c r="B469" s="1"/>
      <c r="C469" s="1"/>
      <c r="D469" s="1"/>
      <c r="E469" s="1"/>
      <c r="F469" s="1"/>
      <c r="G469" s="1"/>
      <c r="H469" s="1"/>
    </row>
    <row r="470" spans="1:8" x14ac:dyDescent="0.35">
      <c r="A470" s="1"/>
      <c r="B470" s="1"/>
      <c r="C470" s="1"/>
      <c r="D470" s="1"/>
      <c r="E470" s="1"/>
      <c r="F470" s="1"/>
      <c r="G470" s="1"/>
      <c r="H470" s="1"/>
    </row>
    <row r="471" spans="1:8" x14ac:dyDescent="0.35">
      <c r="A471" s="1"/>
      <c r="B471" s="1"/>
      <c r="C471" s="1"/>
      <c r="D471" s="1"/>
      <c r="E471" s="1"/>
      <c r="F471" s="1"/>
      <c r="G471" s="1"/>
      <c r="H471" s="1"/>
    </row>
    <row r="472" spans="1:8" x14ac:dyDescent="0.35">
      <c r="A472" s="1"/>
      <c r="B472" s="1"/>
      <c r="C472" s="1"/>
      <c r="D472" s="1"/>
      <c r="E472" s="1"/>
      <c r="F472" s="1"/>
      <c r="G472" s="1"/>
      <c r="H472" s="1"/>
    </row>
    <row r="473" spans="1:8" x14ac:dyDescent="0.35">
      <c r="A473" s="1"/>
      <c r="B473" s="1"/>
      <c r="C473" s="1"/>
      <c r="D473" s="1"/>
      <c r="E473" s="1"/>
      <c r="F473" s="1"/>
      <c r="G473" s="1"/>
      <c r="H473" s="1"/>
    </row>
    <row r="474" spans="1:8" x14ac:dyDescent="0.35">
      <c r="A474" s="1"/>
      <c r="B474" s="1"/>
      <c r="C474" s="1"/>
      <c r="D474" s="1"/>
      <c r="E474" s="1"/>
      <c r="F474" s="1"/>
      <c r="G474" s="1"/>
      <c r="H474" s="1"/>
    </row>
    <row r="475" spans="1:8" x14ac:dyDescent="0.35">
      <c r="A475" s="1"/>
      <c r="B475" s="1"/>
      <c r="C475" s="1"/>
      <c r="D475" s="1"/>
      <c r="E475" s="1"/>
      <c r="F475" s="1"/>
      <c r="G475" s="1"/>
      <c r="H475" s="1"/>
    </row>
    <row r="476" spans="1:8" x14ac:dyDescent="0.35">
      <c r="A476" s="1"/>
      <c r="B476" s="1"/>
      <c r="C476" s="1"/>
      <c r="D476" s="1"/>
      <c r="E476" s="1"/>
      <c r="F476" s="1"/>
      <c r="G476" s="1"/>
      <c r="H476" s="1"/>
    </row>
    <row r="477" spans="1:8" x14ac:dyDescent="0.35">
      <c r="A477" s="1"/>
      <c r="B477" s="1"/>
      <c r="C477" s="1"/>
      <c r="D477" s="1"/>
      <c r="E477" s="1"/>
      <c r="F477" s="1"/>
      <c r="G477" s="1"/>
      <c r="H477" s="1"/>
    </row>
    <row r="478" spans="1:8" x14ac:dyDescent="0.35">
      <c r="A478" s="1"/>
      <c r="B478" s="1"/>
      <c r="C478" s="1"/>
      <c r="D478" s="1"/>
      <c r="E478" s="1"/>
      <c r="F478" s="1"/>
      <c r="G478" s="1"/>
      <c r="H478" s="1"/>
    </row>
    <row r="479" spans="1:8" x14ac:dyDescent="0.35">
      <c r="A479" s="1"/>
      <c r="B479" s="1"/>
      <c r="C479" s="1"/>
      <c r="D479" s="1"/>
      <c r="E479" s="1"/>
      <c r="F479" s="1"/>
      <c r="G479" s="1"/>
      <c r="H479" s="1"/>
    </row>
    <row r="480" spans="1:8" x14ac:dyDescent="0.35">
      <c r="A480" s="1"/>
      <c r="B480" s="1"/>
      <c r="C480" s="1"/>
      <c r="D480" s="1"/>
      <c r="E480" s="1"/>
      <c r="F480" s="1"/>
      <c r="G480" s="1"/>
      <c r="H480" s="1"/>
    </row>
    <row r="481" spans="1:8" x14ac:dyDescent="0.35">
      <c r="A481" s="1"/>
      <c r="B481" s="1"/>
      <c r="C481" s="1"/>
      <c r="D481" s="1"/>
      <c r="E481" s="1"/>
      <c r="F481" s="1"/>
      <c r="G481" s="1"/>
      <c r="H481" s="1"/>
    </row>
    <row r="482" spans="1:8" x14ac:dyDescent="0.35">
      <c r="A482" s="1"/>
      <c r="B482" s="1"/>
      <c r="C482" s="1"/>
      <c r="D482" s="1"/>
      <c r="E482" s="1"/>
      <c r="F482" s="1"/>
      <c r="G482" s="1"/>
      <c r="H482" s="1"/>
    </row>
    <row r="483" spans="1:8" x14ac:dyDescent="0.35">
      <c r="A483" s="1"/>
      <c r="B483" s="1"/>
      <c r="C483" s="1"/>
      <c r="D483" s="1"/>
      <c r="E483" s="1"/>
      <c r="F483" s="1"/>
      <c r="G483" s="1"/>
      <c r="H483" s="1"/>
    </row>
    <row r="484" spans="1:8" x14ac:dyDescent="0.35">
      <c r="A484" s="1"/>
      <c r="B484" s="1"/>
      <c r="C484" s="1"/>
      <c r="D484" s="1"/>
      <c r="E484" s="1"/>
      <c r="F484" s="1"/>
      <c r="G484" s="1"/>
      <c r="H484" s="1"/>
    </row>
    <row r="485" spans="1:8" x14ac:dyDescent="0.35">
      <c r="A485" s="1"/>
      <c r="B485" s="1"/>
      <c r="C485" s="1"/>
      <c r="D485" s="1"/>
      <c r="E485" s="1"/>
      <c r="F485" s="1"/>
      <c r="G485" s="1"/>
      <c r="H485" s="1"/>
    </row>
    <row r="486" spans="1:8" x14ac:dyDescent="0.35">
      <c r="A486" s="1"/>
      <c r="B486" s="1"/>
      <c r="C486" s="1"/>
      <c r="D486" s="1"/>
      <c r="E486" s="1"/>
      <c r="F486" s="1"/>
      <c r="G486" s="1"/>
      <c r="H486" s="1"/>
    </row>
    <row r="487" spans="1:8" x14ac:dyDescent="0.35">
      <c r="A487" s="1"/>
      <c r="B487" s="1"/>
      <c r="C487" s="1"/>
      <c r="D487" s="1"/>
      <c r="E487" s="1"/>
      <c r="F487" s="1"/>
      <c r="G487" s="1"/>
      <c r="H487" s="1"/>
    </row>
    <row r="488" spans="1:8" x14ac:dyDescent="0.35">
      <c r="A488" s="1"/>
      <c r="B488" s="1"/>
      <c r="C488" s="1"/>
      <c r="D488" s="1"/>
      <c r="E488" s="1"/>
      <c r="F488" s="1"/>
      <c r="G488" s="1"/>
      <c r="H488" s="1"/>
    </row>
    <row r="489" spans="1:8" x14ac:dyDescent="0.35">
      <c r="A489" s="1"/>
      <c r="B489" s="1"/>
      <c r="C489" s="1"/>
      <c r="D489" s="1"/>
      <c r="E489" s="1"/>
      <c r="F489" s="1"/>
      <c r="G489" s="1"/>
      <c r="H489" s="1"/>
    </row>
    <row r="490" spans="1:8" x14ac:dyDescent="0.35">
      <c r="A490" s="1"/>
      <c r="B490" s="1"/>
      <c r="C490" s="1"/>
      <c r="D490" s="1"/>
      <c r="E490" s="1"/>
      <c r="F490" s="1"/>
      <c r="G490" s="1"/>
      <c r="H490" s="1"/>
    </row>
    <row r="491" spans="1:8" x14ac:dyDescent="0.35">
      <c r="A491" s="1"/>
      <c r="B491" s="1"/>
      <c r="C491" s="1"/>
      <c r="D491" s="1"/>
      <c r="E491" s="1"/>
      <c r="F491" s="1"/>
      <c r="G491" s="1"/>
      <c r="H491" s="1"/>
    </row>
    <row r="492" spans="1:8" x14ac:dyDescent="0.35">
      <c r="A492" s="1"/>
      <c r="B492" s="1"/>
      <c r="C492" s="1"/>
      <c r="D492" s="1"/>
      <c r="E492" s="1"/>
      <c r="F492" s="1"/>
      <c r="G492" s="1"/>
      <c r="H492" s="1"/>
    </row>
    <row r="493" spans="1:8" x14ac:dyDescent="0.35">
      <c r="A493" s="1"/>
      <c r="B493" s="1"/>
      <c r="C493" s="1"/>
      <c r="D493" s="1"/>
      <c r="E493" s="1"/>
      <c r="F493" s="1"/>
      <c r="G493" s="1"/>
      <c r="H493" s="1"/>
    </row>
    <row r="494" spans="1:8" x14ac:dyDescent="0.35">
      <c r="A494" s="1"/>
      <c r="B494" s="1"/>
      <c r="C494" s="1"/>
      <c r="D494" s="1"/>
      <c r="E494" s="1"/>
      <c r="F494" s="1"/>
      <c r="G494" s="1"/>
      <c r="H494" s="1"/>
    </row>
    <row r="495" spans="1:8" x14ac:dyDescent="0.35">
      <c r="A495" s="1"/>
      <c r="B495" s="1"/>
      <c r="C495" s="1"/>
      <c r="D495" s="1"/>
      <c r="E495" s="1"/>
      <c r="F495" s="1"/>
      <c r="G495" s="1"/>
      <c r="H495" s="1"/>
    </row>
    <row r="496" spans="1:8" x14ac:dyDescent="0.35">
      <c r="A496" s="1"/>
      <c r="B496" s="1"/>
      <c r="C496" s="1"/>
      <c r="D496" s="1"/>
      <c r="E496" s="1"/>
      <c r="F496" s="1"/>
      <c r="G496" s="1"/>
      <c r="H496" s="1"/>
    </row>
    <row r="497" spans="1:8" x14ac:dyDescent="0.35">
      <c r="A497" s="1"/>
      <c r="B497" s="1"/>
      <c r="C497" s="1"/>
      <c r="D497" s="1"/>
      <c r="E497" s="1"/>
      <c r="F497" s="1"/>
      <c r="G497" s="1"/>
      <c r="H497" s="1"/>
    </row>
    <row r="498" spans="1:8" x14ac:dyDescent="0.35">
      <c r="A498" s="1"/>
      <c r="B498" s="1"/>
      <c r="C498" s="1"/>
      <c r="D498" s="1"/>
      <c r="E498" s="1"/>
      <c r="F498" s="1"/>
      <c r="G498" s="1"/>
      <c r="H498" s="1"/>
    </row>
    <row r="499" spans="1:8" x14ac:dyDescent="0.35">
      <c r="A499" s="1"/>
      <c r="B499" s="1"/>
      <c r="C499" s="1"/>
      <c r="D499" s="1"/>
      <c r="E499" s="1"/>
      <c r="F499" s="1"/>
      <c r="G499" s="1"/>
      <c r="H499" s="1"/>
    </row>
    <row r="500" spans="1:8" x14ac:dyDescent="0.35">
      <c r="A500" s="1"/>
      <c r="B500" s="1"/>
      <c r="C500" s="1"/>
      <c r="D500" s="1"/>
      <c r="E500" s="1"/>
      <c r="F500" s="1"/>
      <c r="G500" s="1"/>
      <c r="H500" s="1"/>
    </row>
    <row r="501" spans="1:8" x14ac:dyDescent="0.35">
      <c r="A501" s="1"/>
      <c r="B501" s="1"/>
      <c r="C501" s="1"/>
      <c r="D501" s="1"/>
      <c r="E501" s="1"/>
      <c r="F501" s="1"/>
      <c r="G501" s="1"/>
      <c r="H501" s="1"/>
    </row>
    <row r="502" spans="1:8" x14ac:dyDescent="0.35">
      <c r="A502" s="1"/>
      <c r="B502" s="1"/>
      <c r="C502" s="1"/>
      <c r="D502" s="1"/>
      <c r="E502" s="1"/>
      <c r="F502" s="1"/>
      <c r="G502" s="1"/>
      <c r="H502" s="1"/>
    </row>
    <row r="503" spans="1:8" x14ac:dyDescent="0.35">
      <c r="A503" s="1"/>
      <c r="B503" s="1"/>
      <c r="C503" s="1"/>
      <c r="D503" s="1"/>
      <c r="E503" s="1"/>
      <c r="F503" s="1"/>
      <c r="G503" s="1"/>
      <c r="H503" s="1"/>
    </row>
    <row r="504" spans="1:8" x14ac:dyDescent="0.35">
      <c r="A504" s="1"/>
      <c r="B504" s="1"/>
      <c r="C504" s="1"/>
      <c r="D504" s="1"/>
      <c r="E504" s="1"/>
      <c r="F504" s="1"/>
      <c r="G504" s="1"/>
      <c r="H504" s="1"/>
    </row>
    <row r="505" spans="1:8" x14ac:dyDescent="0.35">
      <c r="A505" s="1"/>
      <c r="B505" s="1"/>
      <c r="C505" s="1"/>
      <c r="D505" s="1"/>
      <c r="E505" s="1"/>
      <c r="F505" s="1"/>
      <c r="G505" s="1"/>
      <c r="H505" s="1"/>
    </row>
    <row r="506" spans="1:8" x14ac:dyDescent="0.35">
      <c r="A506" s="1"/>
      <c r="B506" s="1"/>
      <c r="C506" s="1"/>
      <c r="D506" s="1"/>
      <c r="E506" s="1"/>
      <c r="F506" s="1"/>
      <c r="G506" s="1"/>
      <c r="H506" s="1"/>
    </row>
    <row r="507" spans="1:8" x14ac:dyDescent="0.35">
      <c r="A507" s="1"/>
      <c r="B507" s="1"/>
      <c r="C507" s="1"/>
      <c r="D507" s="1"/>
      <c r="E507" s="1"/>
      <c r="F507" s="1"/>
      <c r="G507" s="1"/>
      <c r="H507" s="1"/>
    </row>
    <row r="508" spans="1:8" x14ac:dyDescent="0.35">
      <c r="A508" s="1"/>
      <c r="B508" s="1"/>
      <c r="C508" s="1"/>
      <c r="D508" s="1"/>
      <c r="E508" s="1"/>
      <c r="F508" s="1"/>
      <c r="G508" s="1"/>
      <c r="H508" s="1"/>
    </row>
    <row r="509" spans="1:8" x14ac:dyDescent="0.35">
      <c r="A509" s="1"/>
      <c r="B509" s="1"/>
      <c r="C509" s="1"/>
      <c r="D509" s="1"/>
      <c r="E509" s="1"/>
      <c r="F509" s="1"/>
      <c r="G509" s="1"/>
      <c r="H509" s="1"/>
    </row>
    <row r="510" spans="1:8" x14ac:dyDescent="0.35">
      <c r="A510" s="1"/>
      <c r="B510" s="1"/>
      <c r="C510" s="1"/>
      <c r="D510" s="1"/>
      <c r="E510" s="1"/>
      <c r="F510" s="1"/>
      <c r="G510" s="1"/>
      <c r="H510" s="1"/>
    </row>
    <row r="511" spans="1:8" x14ac:dyDescent="0.35">
      <c r="A511" s="1"/>
      <c r="B511" s="1"/>
      <c r="C511" s="1"/>
      <c r="D511" s="1"/>
      <c r="E511" s="1"/>
      <c r="F511" s="1"/>
      <c r="G511" s="1"/>
      <c r="H511" s="1"/>
    </row>
    <row r="512" spans="1:8" x14ac:dyDescent="0.35">
      <c r="A512" s="1"/>
      <c r="B512" s="1"/>
      <c r="C512" s="1"/>
      <c r="D512" s="1"/>
      <c r="E512" s="1"/>
      <c r="F512" s="1"/>
      <c r="G512" s="1"/>
      <c r="H512" s="1"/>
    </row>
    <row r="513" spans="1:8" x14ac:dyDescent="0.35">
      <c r="A513" s="1"/>
      <c r="B513" s="1"/>
      <c r="C513" s="1"/>
      <c r="D513" s="1"/>
      <c r="E513" s="1"/>
      <c r="F513" s="1"/>
      <c r="G513" s="1"/>
      <c r="H513" s="1"/>
    </row>
    <row r="514" spans="1:8" x14ac:dyDescent="0.35">
      <c r="A514" s="1"/>
      <c r="B514" s="1"/>
      <c r="C514" s="1"/>
      <c r="D514" s="1"/>
      <c r="E514" s="1"/>
      <c r="F514" s="1"/>
      <c r="G514" s="1"/>
      <c r="H514" s="1"/>
    </row>
    <row r="515" spans="1:8" x14ac:dyDescent="0.35">
      <c r="A515" s="1"/>
      <c r="B515" s="1"/>
      <c r="C515" s="1"/>
      <c r="D515" s="1"/>
      <c r="E515" s="1"/>
      <c r="F515" s="1"/>
      <c r="G515" s="1"/>
      <c r="H515" s="1"/>
    </row>
    <row r="516" spans="1:8" x14ac:dyDescent="0.35">
      <c r="A516" s="1"/>
      <c r="B516" s="1"/>
      <c r="C516" s="1"/>
      <c r="D516" s="1"/>
      <c r="E516" s="1"/>
      <c r="F516" s="1"/>
      <c r="G516" s="1"/>
      <c r="H516" s="1"/>
    </row>
    <row r="517" spans="1:8" x14ac:dyDescent="0.35">
      <c r="A517" s="1"/>
      <c r="B517" s="1"/>
      <c r="C517" s="1"/>
      <c r="D517" s="1"/>
      <c r="E517" s="1"/>
      <c r="F517" s="1"/>
      <c r="G517" s="1"/>
      <c r="H517" s="1"/>
    </row>
    <row r="518" spans="1:8" x14ac:dyDescent="0.35">
      <c r="A518" s="1"/>
      <c r="B518" s="1"/>
      <c r="C518" s="1"/>
      <c r="D518" s="1"/>
      <c r="E518" s="1"/>
      <c r="F518" s="1"/>
      <c r="G518" s="1"/>
      <c r="H518" s="1"/>
    </row>
    <row r="519" spans="1:8" x14ac:dyDescent="0.35">
      <c r="A519" s="1"/>
      <c r="B519" s="1"/>
      <c r="C519" s="1"/>
      <c r="D519" s="1"/>
      <c r="E519" s="1"/>
      <c r="F519" s="1"/>
      <c r="G519" s="1"/>
      <c r="H519" s="1"/>
    </row>
    <row r="520" spans="1:8" x14ac:dyDescent="0.35">
      <c r="A520" s="1"/>
      <c r="B520" s="1"/>
      <c r="C520" s="1"/>
      <c r="D520" s="1"/>
      <c r="E520" s="1"/>
      <c r="F520" s="1"/>
      <c r="G520" s="1"/>
      <c r="H520" s="1"/>
    </row>
    <row r="521" spans="1:8" x14ac:dyDescent="0.35">
      <c r="A521" s="1"/>
      <c r="B521" s="1"/>
      <c r="C521" s="1"/>
      <c r="D521" s="1"/>
      <c r="E521" s="1"/>
      <c r="F521" s="1"/>
      <c r="G521" s="1"/>
      <c r="H521" s="1"/>
    </row>
    <row r="522" spans="1:8" x14ac:dyDescent="0.35">
      <c r="A522" s="1"/>
      <c r="B522" s="1"/>
      <c r="C522" s="1"/>
      <c r="D522" s="1"/>
      <c r="E522" s="1"/>
      <c r="F522" s="1"/>
      <c r="G522" s="1"/>
      <c r="H522" s="1"/>
    </row>
    <row r="523" spans="1:8" x14ac:dyDescent="0.35">
      <c r="A523" s="1"/>
      <c r="B523" s="1"/>
      <c r="C523" s="1"/>
      <c r="D523" s="1"/>
      <c r="E523" s="1"/>
      <c r="F523" s="1"/>
      <c r="G523" s="1"/>
      <c r="H523" s="1"/>
    </row>
    <row r="524" spans="1:8" x14ac:dyDescent="0.35">
      <c r="A524" s="1"/>
      <c r="B524" s="1"/>
      <c r="C524" s="1"/>
      <c r="D524" s="1"/>
      <c r="E524" s="1"/>
      <c r="F524" s="1"/>
      <c r="G524" s="1"/>
      <c r="H524" s="1"/>
    </row>
    <row r="525" spans="1:8" x14ac:dyDescent="0.35">
      <c r="A525" s="1"/>
      <c r="B525" s="1"/>
      <c r="C525" s="1"/>
      <c r="D525" s="1"/>
      <c r="E525" s="1"/>
      <c r="F525" s="1"/>
      <c r="G525" s="1"/>
      <c r="H525" s="1"/>
    </row>
    <row r="526" spans="1:8" x14ac:dyDescent="0.35">
      <c r="A526" s="1"/>
      <c r="B526" s="1"/>
      <c r="C526" s="1"/>
      <c r="D526" s="1"/>
      <c r="E526" s="1"/>
      <c r="F526" s="1"/>
      <c r="G526" s="1"/>
      <c r="H526" s="1"/>
    </row>
    <row r="527" spans="1:8" x14ac:dyDescent="0.35">
      <c r="A527" s="1"/>
      <c r="B527" s="1"/>
      <c r="C527" s="1"/>
      <c r="D527" s="1"/>
      <c r="E527" s="1"/>
      <c r="F527" s="1"/>
      <c r="G527" s="1"/>
      <c r="H527" s="1"/>
    </row>
    <row r="528" spans="1:8" x14ac:dyDescent="0.35">
      <c r="A528" s="1"/>
      <c r="B528" s="1"/>
      <c r="C528" s="1"/>
      <c r="D528" s="1"/>
      <c r="E528" s="1"/>
      <c r="F528" s="1"/>
      <c r="G528" s="1"/>
      <c r="H528" s="1"/>
    </row>
    <row r="529" spans="1:8" x14ac:dyDescent="0.35">
      <c r="A529" s="1"/>
      <c r="B529" s="1"/>
      <c r="C529" s="1"/>
      <c r="D529" s="1"/>
      <c r="E529" s="1"/>
      <c r="F529" s="1"/>
      <c r="G529" s="1"/>
      <c r="H529" s="1"/>
    </row>
    <row r="530" spans="1:8" x14ac:dyDescent="0.35">
      <c r="A530" s="1"/>
      <c r="B530" s="1"/>
      <c r="C530" s="1"/>
      <c r="D530" s="1"/>
      <c r="E530" s="1"/>
      <c r="F530" s="1"/>
      <c r="G530" s="1"/>
      <c r="H530" s="1"/>
    </row>
    <row r="531" spans="1:8" x14ac:dyDescent="0.35">
      <c r="A531" s="1"/>
      <c r="B531" s="1"/>
      <c r="C531" s="1"/>
      <c r="D531" s="1"/>
      <c r="E531" s="1"/>
      <c r="F531" s="1"/>
      <c r="G531" s="1"/>
      <c r="H531" s="1"/>
    </row>
    <row r="532" spans="1:8" x14ac:dyDescent="0.35">
      <c r="A532" s="1"/>
      <c r="B532" s="1"/>
      <c r="C532" s="1"/>
      <c r="D532" s="1"/>
      <c r="E532" s="1"/>
      <c r="F532" s="1"/>
      <c r="G532" s="1"/>
      <c r="H532" s="1"/>
    </row>
    <row r="533" spans="1:8" x14ac:dyDescent="0.35">
      <c r="A533" s="1"/>
      <c r="B533" s="1"/>
      <c r="C533" s="1"/>
      <c r="D533" s="1"/>
      <c r="E533" s="1"/>
      <c r="F533" s="1"/>
      <c r="G533" s="1"/>
      <c r="H533" s="1"/>
    </row>
    <row r="534" spans="1:8" x14ac:dyDescent="0.35">
      <c r="A534" s="1"/>
      <c r="B534" s="1"/>
      <c r="C534" s="1"/>
      <c r="D534" s="1"/>
      <c r="E534" s="1"/>
      <c r="F534" s="1"/>
      <c r="G534" s="1"/>
      <c r="H534" s="1"/>
    </row>
    <row r="535" spans="1:8" x14ac:dyDescent="0.35">
      <c r="A535" s="1"/>
      <c r="B535" s="1"/>
      <c r="C535" s="1"/>
      <c r="D535" s="1"/>
      <c r="E535" s="1"/>
      <c r="F535" s="1"/>
      <c r="G535" s="1"/>
      <c r="H535" s="1"/>
    </row>
    <row r="536" spans="1:8" x14ac:dyDescent="0.35">
      <c r="A536" s="1"/>
      <c r="B536" s="1"/>
      <c r="C536" s="1"/>
      <c r="D536" s="1"/>
      <c r="E536" s="1"/>
      <c r="F536" s="1"/>
      <c r="G536" s="1"/>
      <c r="H536" s="1"/>
    </row>
    <row r="537" spans="1:8" x14ac:dyDescent="0.35">
      <c r="A537" s="1"/>
      <c r="B537" s="1"/>
      <c r="C537" s="1"/>
      <c r="D537" s="1"/>
      <c r="E537" s="1"/>
      <c r="F537" s="1"/>
      <c r="G537" s="1"/>
      <c r="H537" s="1"/>
    </row>
    <row r="538" spans="1:8" x14ac:dyDescent="0.35">
      <c r="A538" s="1"/>
      <c r="B538" s="1"/>
      <c r="C538" s="1"/>
      <c r="D538" s="1"/>
      <c r="E538" s="1"/>
      <c r="F538" s="1"/>
      <c r="G538" s="1"/>
      <c r="H538" s="1"/>
    </row>
    <row r="539" spans="1:8" x14ac:dyDescent="0.35">
      <c r="A539" s="1"/>
      <c r="B539" s="1"/>
      <c r="C539" s="1"/>
      <c r="D539" s="1"/>
      <c r="E539" s="1"/>
      <c r="F539" s="1"/>
      <c r="G539" s="1"/>
      <c r="H539" s="1"/>
    </row>
    <row r="540" spans="1:8" x14ac:dyDescent="0.35">
      <c r="A540" s="1"/>
      <c r="B540" s="1"/>
      <c r="C540" s="1"/>
      <c r="D540" s="1"/>
      <c r="E540" s="1"/>
      <c r="F540" s="1"/>
      <c r="G540" s="1"/>
      <c r="H540" s="1"/>
    </row>
    <row r="541" spans="1:8" x14ac:dyDescent="0.35">
      <c r="A541" s="1"/>
      <c r="B541" s="1"/>
      <c r="C541" s="1"/>
      <c r="D541" s="1"/>
      <c r="E541" s="1"/>
      <c r="F541" s="1"/>
      <c r="G541" s="1"/>
      <c r="H541" s="1"/>
    </row>
    <row r="542" spans="1:8" x14ac:dyDescent="0.35">
      <c r="A542" s="1"/>
      <c r="B542" s="1"/>
      <c r="C542" s="1"/>
      <c r="D542" s="1"/>
      <c r="E542" s="1"/>
      <c r="F542" s="1"/>
      <c r="G542" s="1"/>
      <c r="H542" s="1"/>
    </row>
    <row r="543" spans="1:8" x14ac:dyDescent="0.35">
      <c r="A543" s="1"/>
      <c r="B543" s="1"/>
      <c r="C543" s="1"/>
      <c r="D543" s="1"/>
      <c r="E543" s="1"/>
      <c r="F543" s="1"/>
      <c r="G543" s="1"/>
      <c r="H543" s="1"/>
    </row>
    <row r="544" spans="1:8" x14ac:dyDescent="0.35">
      <c r="A544" s="1"/>
      <c r="B544" s="1"/>
      <c r="C544" s="1"/>
      <c r="D544" s="1"/>
      <c r="E544" s="1"/>
      <c r="F544" s="1"/>
      <c r="G544" s="1"/>
      <c r="H544" s="1"/>
    </row>
    <row r="545" spans="1:8" x14ac:dyDescent="0.35">
      <c r="A545" s="1"/>
      <c r="B545" s="1"/>
      <c r="C545" s="1"/>
      <c r="D545" s="1"/>
      <c r="E545" s="1"/>
      <c r="F545" s="1"/>
      <c r="G545" s="1"/>
      <c r="H545" s="1"/>
    </row>
    <row r="546" spans="1:8" x14ac:dyDescent="0.35">
      <c r="A546" s="1"/>
      <c r="B546" s="1"/>
      <c r="C546" s="1"/>
      <c r="D546" s="1"/>
      <c r="E546" s="1"/>
      <c r="F546" s="1"/>
      <c r="G546" s="1"/>
      <c r="H546" s="1"/>
    </row>
    <row r="547" spans="1:8" x14ac:dyDescent="0.35">
      <c r="A547" s="1"/>
      <c r="B547" s="1"/>
      <c r="C547" s="1"/>
      <c r="D547" s="1"/>
      <c r="E547" s="1"/>
      <c r="F547" s="1"/>
      <c r="G547" s="1"/>
      <c r="H547" s="1"/>
    </row>
    <row r="548" spans="1:8" x14ac:dyDescent="0.35">
      <c r="A548" s="1"/>
      <c r="B548" s="1"/>
      <c r="C548" s="1"/>
      <c r="D548" s="1"/>
      <c r="E548" s="1"/>
      <c r="F548" s="1"/>
      <c r="G548" s="1"/>
      <c r="H548" s="1"/>
    </row>
    <row r="549" spans="1:8" x14ac:dyDescent="0.35">
      <c r="A549" s="1"/>
      <c r="B549" s="1"/>
      <c r="C549" s="1"/>
      <c r="D549" s="1"/>
      <c r="E549" s="1"/>
      <c r="F549" s="1"/>
      <c r="G549" s="1"/>
      <c r="H549" s="1"/>
    </row>
    <row r="550" spans="1:8" x14ac:dyDescent="0.35">
      <c r="A550" s="1"/>
      <c r="B550" s="1"/>
      <c r="C550" s="1"/>
      <c r="D550" s="1"/>
      <c r="E550" s="1"/>
      <c r="F550" s="1"/>
      <c r="G550" s="1"/>
      <c r="H550" s="1"/>
    </row>
    <row r="551" spans="1:8" x14ac:dyDescent="0.35">
      <c r="A551" s="1"/>
      <c r="B551" s="1"/>
      <c r="C551" s="1"/>
      <c r="D551" s="1"/>
      <c r="E551" s="1"/>
      <c r="F551" s="1"/>
      <c r="G551" s="1"/>
      <c r="H551" s="1"/>
    </row>
    <row r="552" spans="1:8" x14ac:dyDescent="0.35">
      <c r="A552" s="1"/>
      <c r="B552" s="1"/>
      <c r="C552" s="1"/>
      <c r="D552" s="1"/>
      <c r="E552" s="1"/>
      <c r="F552" s="1"/>
      <c r="G552" s="1"/>
      <c r="H552" s="1"/>
    </row>
    <row r="553" spans="1:8" x14ac:dyDescent="0.35">
      <c r="A553" s="1"/>
      <c r="B553" s="1"/>
      <c r="C553" s="1"/>
      <c r="D553" s="1"/>
      <c r="E553" s="1"/>
      <c r="F553" s="1"/>
      <c r="G553" s="1"/>
      <c r="H553" s="1"/>
    </row>
    <row r="554" spans="1:8" x14ac:dyDescent="0.35">
      <c r="A554" s="1"/>
      <c r="B554" s="1"/>
      <c r="C554" s="1"/>
      <c r="D554" s="1"/>
      <c r="E554" s="1"/>
      <c r="F554" s="1"/>
      <c r="G554" s="1"/>
      <c r="H554" s="1"/>
    </row>
    <row r="555" spans="1:8" x14ac:dyDescent="0.35">
      <c r="A555" s="1"/>
      <c r="B555" s="1"/>
      <c r="C555" s="1"/>
      <c r="D555" s="1"/>
      <c r="E555" s="1"/>
      <c r="F555" s="1"/>
      <c r="G555" s="1"/>
      <c r="H555" s="1"/>
    </row>
    <row r="556" spans="1:8" x14ac:dyDescent="0.35">
      <c r="A556" s="1"/>
      <c r="B556" s="1"/>
      <c r="C556" s="1"/>
      <c r="D556" s="1"/>
      <c r="E556" s="1"/>
      <c r="F556" s="1"/>
      <c r="G556" s="1"/>
      <c r="H556" s="1"/>
    </row>
    <row r="557" spans="1:8" x14ac:dyDescent="0.35">
      <c r="A557" s="1"/>
      <c r="B557" s="1"/>
      <c r="C557" s="1"/>
      <c r="D557" s="1"/>
      <c r="E557" s="1"/>
      <c r="F557" s="1"/>
      <c r="G557" s="1"/>
      <c r="H557" s="1"/>
    </row>
    <row r="558" spans="1:8" x14ac:dyDescent="0.35">
      <c r="A558" s="1"/>
      <c r="B558" s="1"/>
      <c r="C558" s="1"/>
      <c r="D558" s="1"/>
      <c r="E558" s="1"/>
      <c r="F558" s="1"/>
      <c r="G558" s="1"/>
      <c r="H558" s="1"/>
    </row>
    <row r="559" spans="1:8" x14ac:dyDescent="0.35">
      <c r="A559" s="1"/>
      <c r="B559" s="1"/>
      <c r="C559" s="1"/>
      <c r="D559" s="1"/>
      <c r="E559" s="1"/>
      <c r="F559" s="1"/>
      <c r="G559" s="1"/>
      <c r="H559" s="1"/>
    </row>
    <row r="560" spans="1:8" x14ac:dyDescent="0.35">
      <c r="A560" s="1"/>
      <c r="B560" s="1"/>
      <c r="C560" s="1"/>
      <c r="D560" s="1"/>
      <c r="E560" s="1"/>
      <c r="F560" s="1"/>
      <c r="G560" s="1"/>
      <c r="H560" s="1"/>
    </row>
    <row r="561" spans="1:8" x14ac:dyDescent="0.35">
      <c r="A561" s="1"/>
      <c r="B561" s="1"/>
      <c r="C561" s="1"/>
      <c r="D561" s="1"/>
      <c r="E561" s="1"/>
      <c r="F561" s="1"/>
      <c r="G561" s="1"/>
      <c r="H561" s="1"/>
    </row>
    <row r="562" spans="1:8" x14ac:dyDescent="0.35">
      <c r="A562" s="1"/>
      <c r="B562" s="1"/>
      <c r="C562" s="1"/>
      <c r="D562" s="1"/>
      <c r="E562" s="1"/>
      <c r="F562" s="1"/>
      <c r="G562" s="1"/>
      <c r="H562" s="1"/>
    </row>
    <row r="563" spans="1:8" x14ac:dyDescent="0.35">
      <c r="A563" s="1"/>
      <c r="B563" s="1"/>
      <c r="C563" s="1"/>
      <c r="D563" s="1"/>
      <c r="E563" s="1"/>
      <c r="F563" s="1"/>
      <c r="G563" s="1"/>
      <c r="H563" s="1"/>
    </row>
    <row r="564" spans="1:8" x14ac:dyDescent="0.35">
      <c r="A564" s="1"/>
      <c r="B564" s="1"/>
      <c r="C564" s="1"/>
      <c r="D564" s="1"/>
      <c r="E564" s="1"/>
      <c r="F564" s="1"/>
      <c r="G564" s="1"/>
      <c r="H564" s="1"/>
    </row>
    <row r="565" spans="1:8" x14ac:dyDescent="0.35">
      <c r="A565" s="1"/>
      <c r="B565" s="1"/>
      <c r="C565" s="1"/>
      <c r="D565" s="1"/>
      <c r="E565" s="1"/>
      <c r="F565" s="1"/>
      <c r="G565" s="1"/>
      <c r="H565" s="1"/>
    </row>
    <row r="566" spans="1:8" x14ac:dyDescent="0.35">
      <c r="A566" s="1"/>
      <c r="B566" s="1"/>
      <c r="C566" s="1"/>
      <c r="D566" s="1"/>
      <c r="E566" s="1"/>
      <c r="F566" s="1"/>
      <c r="G566" s="1"/>
      <c r="H566" s="1"/>
    </row>
    <row r="567" spans="1:8" x14ac:dyDescent="0.35">
      <c r="A567" s="1"/>
      <c r="B567" s="1"/>
      <c r="C567" s="1"/>
      <c r="D567" s="1"/>
      <c r="E567" s="1"/>
      <c r="F567" s="1"/>
      <c r="G567" s="1"/>
      <c r="H567" s="1"/>
    </row>
    <row r="568" spans="1:8" x14ac:dyDescent="0.35">
      <c r="A568" s="1"/>
      <c r="B568" s="1"/>
      <c r="C568" s="1"/>
      <c r="D568" s="1"/>
      <c r="E568" s="1"/>
      <c r="F568" s="1"/>
      <c r="G568" s="1"/>
      <c r="H568" s="1"/>
    </row>
    <row r="569" spans="1:8" x14ac:dyDescent="0.35">
      <c r="A569" s="1"/>
      <c r="B569" s="1"/>
      <c r="C569" s="1"/>
      <c r="D569" s="1"/>
      <c r="E569" s="1"/>
      <c r="F569" s="1"/>
      <c r="G569" s="1"/>
      <c r="H569" s="1"/>
    </row>
    <row r="570" spans="1:8" x14ac:dyDescent="0.35">
      <c r="A570" s="1"/>
      <c r="B570" s="1"/>
      <c r="C570" s="1"/>
      <c r="D570" s="1"/>
      <c r="E570" s="1"/>
      <c r="F570" s="1"/>
      <c r="G570" s="1"/>
      <c r="H570" s="1"/>
    </row>
    <row r="571" spans="1:8" x14ac:dyDescent="0.35">
      <c r="A571" s="1"/>
      <c r="B571" s="1"/>
      <c r="C571" s="1"/>
      <c r="D571" s="1"/>
      <c r="E571" s="1"/>
      <c r="F571" s="1"/>
      <c r="G571" s="1"/>
      <c r="H571" s="1"/>
    </row>
    <row r="572" spans="1:8" x14ac:dyDescent="0.35">
      <c r="A572" s="1"/>
      <c r="B572" s="1"/>
      <c r="C572" s="1"/>
      <c r="D572" s="1"/>
      <c r="E572" s="1"/>
      <c r="F572" s="1"/>
      <c r="G572" s="1"/>
      <c r="H572" s="1"/>
    </row>
    <row r="573" spans="1:8" x14ac:dyDescent="0.35">
      <c r="A573" s="1"/>
      <c r="B573" s="1"/>
      <c r="C573" s="1"/>
      <c r="D573" s="1"/>
      <c r="E573" s="1"/>
      <c r="F573" s="1"/>
      <c r="G573" s="1"/>
      <c r="H573" s="1"/>
    </row>
    <row r="574" spans="1:8" x14ac:dyDescent="0.35">
      <c r="A574" s="1"/>
      <c r="B574" s="1"/>
      <c r="C574" s="1"/>
      <c r="D574" s="1"/>
      <c r="E574" s="1"/>
      <c r="F574" s="1"/>
      <c r="G574" s="1"/>
      <c r="H574" s="1"/>
    </row>
    <row r="575" spans="1:8" x14ac:dyDescent="0.35">
      <c r="A575" s="1"/>
      <c r="B575" s="1"/>
      <c r="C575" s="1"/>
      <c r="D575" s="1"/>
      <c r="E575" s="1"/>
      <c r="F575" s="1"/>
      <c r="G575" s="1"/>
      <c r="H575" s="1"/>
    </row>
    <row r="576" spans="1:8" x14ac:dyDescent="0.35">
      <c r="A576" s="1"/>
      <c r="B576" s="1"/>
      <c r="C576" s="1"/>
      <c r="D576" s="1"/>
      <c r="E576" s="1"/>
      <c r="F576" s="1"/>
      <c r="G576" s="1"/>
      <c r="H576" s="1"/>
    </row>
    <row r="577" spans="1:8" x14ac:dyDescent="0.35">
      <c r="A577" s="1"/>
      <c r="B577" s="1"/>
      <c r="C577" s="1"/>
      <c r="D577" s="1"/>
      <c r="E577" s="1"/>
      <c r="F577" s="1"/>
      <c r="G577" s="1"/>
      <c r="H577" s="1"/>
    </row>
    <row r="578" spans="1:8" x14ac:dyDescent="0.35">
      <c r="A578" s="1"/>
      <c r="B578" s="1"/>
      <c r="C578" s="1"/>
      <c r="D578" s="1"/>
      <c r="E578" s="1"/>
      <c r="F578" s="1"/>
      <c r="G578" s="1"/>
      <c r="H578" s="1"/>
    </row>
    <row r="579" spans="1:8" x14ac:dyDescent="0.35">
      <c r="A579" s="1"/>
      <c r="B579" s="1"/>
      <c r="C579" s="1"/>
      <c r="D579" s="1"/>
      <c r="E579" s="1"/>
      <c r="F579" s="1"/>
      <c r="G579" s="1"/>
      <c r="H579" s="1"/>
    </row>
    <row r="580" spans="1:8" x14ac:dyDescent="0.35">
      <c r="A580" s="1"/>
      <c r="B580" s="1"/>
      <c r="C580" s="1"/>
      <c r="D580" s="1"/>
      <c r="E580" s="1"/>
      <c r="F580" s="1"/>
      <c r="G580" s="1"/>
      <c r="H580" s="1"/>
    </row>
    <row r="581" spans="1:8" x14ac:dyDescent="0.35">
      <c r="A581" s="1"/>
      <c r="B581" s="1"/>
      <c r="C581" s="1"/>
      <c r="D581" s="1"/>
      <c r="E581" s="1"/>
      <c r="F581" s="1"/>
      <c r="G581" s="1"/>
      <c r="H581" s="1"/>
    </row>
    <row r="582" spans="1:8" x14ac:dyDescent="0.35">
      <c r="A582" s="1"/>
      <c r="B582" s="1"/>
      <c r="C582" s="1"/>
      <c r="D582" s="1"/>
      <c r="E582" s="1"/>
      <c r="F582" s="1"/>
      <c r="G582" s="1"/>
      <c r="H582" s="1"/>
    </row>
    <row r="583" spans="1:8" x14ac:dyDescent="0.35">
      <c r="A583" s="1"/>
      <c r="B583" s="1"/>
      <c r="C583" s="1"/>
      <c r="D583" s="1"/>
      <c r="E583" s="1"/>
      <c r="F583" s="1"/>
      <c r="G583" s="1"/>
      <c r="H583" s="1"/>
    </row>
    <row r="584" spans="1:8" x14ac:dyDescent="0.35">
      <c r="A584" s="1"/>
      <c r="B584" s="1"/>
      <c r="C584" s="1"/>
      <c r="D584" s="1"/>
      <c r="E584" s="1"/>
      <c r="F584" s="1"/>
      <c r="G584" s="1"/>
      <c r="H584" s="1"/>
    </row>
    <row r="585" spans="1:8" x14ac:dyDescent="0.35">
      <c r="A585" s="1"/>
      <c r="B585" s="1"/>
      <c r="C585" s="1"/>
      <c r="D585" s="1"/>
      <c r="E585" s="1"/>
      <c r="F585" s="1"/>
      <c r="G585" s="1"/>
      <c r="H585" s="1"/>
    </row>
    <row r="586" spans="1:8" x14ac:dyDescent="0.35">
      <c r="A586" s="1"/>
      <c r="B586" s="1"/>
      <c r="C586" s="1"/>
      <c r="D586" s="1"/>
      <c r="E586" s="1"/>
      <c r="F586" s="1"/>
      <c r="G586" s="1"/>
      <c r="H586" s="1"/>
    </row>
    <row r="587" spans="1:8" x14ac:dyDescent="0.35">
      <c r="A587" s="1"/>
      <c r="B587" s="1"/>
      <c r="C587" s="1"/>
      <c r="D587" s="1"/>
      <c r="E587" s="1"/>
      <c r="F587" s="1"/>
      <c r="G587" s="1"/>
      <c r="H587" s="1"/>
    </row>
    <row r="588" spans="1:8" x14ac:dyDescent="0.35">
      <c r="A588" s="1"/>
      <c r="B588" s="1"/>
      <c r="C588" s="1"/>
      <c r="D588" s="1"/>
      <c r="E588" s="1"/>
      <c r="F588" s="1"/>
      <c r="G588" s="1"/>
      <c r="H588" s="1"/>
    </row>
    <row r="589" spans="1:8" x14ac:dyDescent="0.35">
      <c r="A589" s="1"/>
      <c r="B589" s="1"/>
      <c r="C589" s="1"/>
      <c r="D589" s="1"/>
      <c r="E589" s="1"/>
      <c r="F589" s="1"/>
      <c r="G589" s="1"/>
      <c r="H589" s="1"/>
    </row>
    <row r="590" spans="1:8" x14ac:dyDescent="0.35">
      <c r="A590" s="1"/>
      <c r="B590" s="1"/>
      <c r="C590" s="1"/>
      <c r="D590" s="1"/>
      <c r="E590" s="1"/>
      <c r="F590" s="1"/>
      <c r="G590" s="1"/>
      <c r="H590" s="1"/>
    </row>
    <row r="591" spans="1:8" x14ac:dyDescent="0.35">
      <c r="A591" s="1"/>
      <c r="B591" s="1"/>
      <c r="C591" s="1"/>
      <c r="D591" s="1"/>
      <c r="E591" s="1"/>
      <c r="F591" s="1"/>
      <c r="G591" s="1"/>
      <c r="H591" s="1"/>
    </row>
    <row r="592" spans="1:8" x14ac:dyDescent="0.35">
      <c r="A592" s="1"/>
      <c r="B592" s="1"/>
      <c r="C592" s="1"/>
      <c r="D592" s="1"/>
      <c r="E592" s="1"/>
      <c r="F592" s="1"/>
      <c r="G592" s="1"/>
      <c r="H592" s="1"/>
    </row>
    <row r="593" spans="1:8" x14ac:dyDescent="0.35">
      <c r="A593" s="1"/>
      <c r="B593" s="1"/>
      <c r="C593" s="1"/>
      <c r="D593" s="1"/>
      <c r="E593" s="1"/>
      <c r="F593" s="1"/>
      <c r="G593" s="1"/>
      <c r="H593" s="1"/>
    </row>
    <row r="594" spans="1:8" x14ac:dyDescent="0.35">
      <c r="A594" s="1"/>
      <c r="B594" s="1"/>
      <c r="C594" s="1"/>
      <c r="D594" s="1"/>
      <c r="E594" s="1"/>
      <c r="F594" s="1"/>
      <c r="G594" s="1"/>
      <c r="H594" s="1"/>
    </row>
    <row r="595" spans="1:8" x14ac:dyDescent="0.35">
      <c r="A595" s="1"/>
      <c r="B595" s="1"/>
      <c r="C595" s="1"/>
      <c r="D595" s="1"/>
      <c r="E595" s="1"/>
      <c r="F595" s="1"/>
      <c r="G595" s="1"/>
      <c r="H595" s="1"/>
    </row>
    <row r="596" spans="1:8" x14ac:dyDescent="0.35">
      <c r="A596" s="1"/>
      <c r="B596" s="1"/>
      <c r="C596" s="1"/>
      <c r="D596" s="1"/>
      <c r="E596" s="1"/>
      <c r="F596" s="1"/>
      <c r="G596" s="1"/>
      <c r="H596" s="1"/>
    </row>
    <row r="597" spans="1:8" x14ac:dyDescent="0.35">
      <c r="A597" s="1"/>
      <c r="B597" s="1"/>
      <c r="C597" s="1"/>
      <c r="D597" s="1"/>
      <c r="E597" s="1"/>
      <c r="F597" s="1"/>
      <c r="G597" s="1"/>
      <c r="H597" s="1"/>
    </row>
    <row r="598" spans="1:8" x14ac:dyDescent="0.35">
      <c r="A598" s="1"/>
      <c r="B598" s="1"/>
      <c r="C598" s="1"/>
      <c r="D598" s="1"/>
      <c r="E598" s="1"/>
      <c r="F598" s="1"/>
      <c r="G598" s="1"/>
      <c r="H598" s="1"/>
    </row>
    <row r="599" spans="1:8" x14ac:dyDescent="0.35">
      <c r="A599" s="1"/>
      <c r="B599" s="1"/>
      <c r="C599" s="1"/>
      <c r="D599" s="1"/>
      <c r="E599" s="1"/>
      <c r="F599" s="1"/>
      <c r="G599" s="1"/>
      <c r="H599" s="1"/>
    </row>
    <row r="600" spans="1:8" x14ac:dyDescent="0.35">
      <c r="A600" s="1"/>
      <c r="B600" s="1"/>
      <c r="C600" s="1"/>
      <c r="D600" s="1"/>
      <c r="E600" s="1"/>
      <c r="F600" s="1"/>
      <c r="G600" s="1"/>
      <c r="H600" s="1"/>
    </row>
    <row r="601" spans="1:8" x14ac:dyDescent="0.35">
      <c r="A601" s="1"/>
      <c r="B601" s="1"/>
      <c r="C601" s="1"/>
      <c r="D601" s="1"/>
      <c r="E601" s="1"/>
      <c r="F601" s="1"/>
      <c r="G601" s="1"/>
      <c r="H601" s="1"/>
    </row>
    <row r="602" spans="1:8" x14ac:dyDescent="0.35">
      <c r="A602" s="1"/>
      <c r="B602" s="1"/>
      <c r="C602" s="1"/>
      <c r="D602" s="1"/>
      <c r="E602" s="1"/>
      <c r="F602" s="1"/>
      <c r="G602" s="1"/>
      <c r="H602" s="1"/>
    </row>
    <row r="603" spans="1:8" x14ac:dyDescent="0.35">
      <c r="A603" s="1"/>
      <c r="B603" s="1"/>
      <c r="C603" s="1"/>
      <c r="D603" s="1"/>
      <c r="E603" s="1"/>
      <c r="F603" s="1"/>
      <c r="G603" s="1"/>
      <c r="H603" s="1"/>
    </row>
    <row r="604" spans="1:8" x14ac:dyDescent="0.35">
      <c r="A604" s="1"/>
      <c r="B604" s="1"/>
      <c r="C604" s="1"/>
      <c r="D604" s="1"/>
      <c r="E604" s="1"/>
      <c r="F604" s="1"/>
      <c r="G604" s="1"/>
      <c r="H604" s="1"/>
    </row>
    <row r="605" spans="1:8" x14ac:dyDescent="0.35">
      <c r="A605" s="1"/>
      <c r="B605" s="1"/>
      <c r="C605" s="1"/>
      <c r="D605" s="1"/>
      <c r="E605" s="1"/>
      <c r="F605" s="1"/>
      <c r="G605" s="1"/>
      <c r="H605" s="1"/>
    </row>
    <row r="606" spans="1:8" x14ac:dyDescent="0.35">
      <c r="A606" s="1"/>
      <c r="B606" s="1"/>
      <c r="C606" s="1"/>
      <c r="D606" s="1"/>
      <c r="E606" s="1"/>
      <c r="F606" s="1"/>
      <c r="G606" s="1"/>
      <c r="H606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Instrucciones</vt:lpstr>
      <vt:lpstr>Catalogos</vt:lpstr>
      <vt:lpstr>Registro_Contenedores</vt:lpstr>
      <vt:lpstr>Planif_Grupasa</vt:lpstr>
      <vt:lpstr>Planif_Galagans</vt:lpstr>
      <vt:lpstr>Status_Operativo</vt:lpstr>
      <vt:lpstr>Base_Historica</vt:lpstr>
      <vt:lpstr>Control_Calidad</vt:lpstr>
      <vt:lpstr>Bodegas</vt:lpstr>
      <vt:lpstr>Depositos</vt:lpstr>
      <vt:lpstr>Navieras</vt:lpstr>
      <vt:lpstr>Puertos</vt:lpstr>
      <vt:lpstr>Status</vt:lpstr>
      <vt:lpstr>Tipo_Incidencia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Andrés Garzón García</cp:lastModifiedBy>
  <dcterms:created xsi:type="dcterms:W3CDTF">2026-03-23T03:38:13Z</dcterms:created>
  <dcterms:modified xsi:type="dcterms:W3CDTF">2026-03-23T03:57:57Z</dcterms:modified>
</cp:coreProperties>
</file>